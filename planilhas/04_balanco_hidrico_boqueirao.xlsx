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ademicoufpb-my.sharepoint.com/personal/emanuel_gomes_academico_ufpb_br/Documents/MONITORIA-HIDROLOGIA/2023.1/LISTAS DE EXERCÍCIOS/UNIDADE 2/Evapotranspiração/Problemas Reais/"/>
    </mc:Choice>
  </mc:AlternateContent>
  <xr:revisionPtr revIDLastSave="19" documentId="8_{8EE66E11-ED5D-49DF-9F85-0453E4DA5AB6}" xr6:coauthVersionLast="47" xr6:coauthVersionMax="47" xr10:uidLastSave="{F8BFE416-108D-4805-867B-3373C92AF640}"/>
  <bookViews>
    <workbookView xWindow="-120" yWindow="-120" windowWidth="20730" windowHeight="11040" xr2:uid="{7D3FF348-E7DF-4F76-9770-326F5D50E9BF}"/>
  </bookViews>
  <sheets>
    <sheet name="Dados COTA-ÁREA-VOLUME" sheetId="2" r:id="rId1"/>
    <sheet name="Dados de demanda e evaporação" sheetId="3" r:id="rId2"/>
    <sheet name="Vazões afluentes" sheetId="4" state="hidden" r:id="rId3"/>
    <sheet name="Dados de precipitação" sheetId="5" state="hidden" r:id="rId4"/>
    <sheet name="Dimensionamento (2017)" sheetId="1" r:id="rId5"/>
    <sheet name="Dimensionamento 2016" sheetId="9" r:id="rId6"/>
    <sheet name="Dimensionamento polinomial" sheetId="6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I16" i="1" s="1"/>
  <c r="E16" i="1"/>
  <c r="O14" i="6" l="1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D4" i="6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99" i="9"/>
  <c r="E100" i="9"/>
  <c r="E101" i="9"/>
  <c r="E102" i="9"/>
  <c r="E103" i="9"/>
  <c r="E19" i="9"/>
  <c r="E20" i="9"/>
  <c r="E21" i="9"/>
  <c r="E22" i="9"/>
  <c r="E23" i="9"/>
  <c r="E24" i="9"/>
  <c r="E25" i="9"/>
  <c r="E26" i="9"/>
  <c r="E18" i="9"/>
  <c r="E17" i="9"/>
  <c r="D9" i="9"/>
  <c r="H103" i="9"/>
  <c r="I103" i="9" s="1"/>
  <c r="H102" i="9"/>
  <c r="I102" i="9" s="1"/>
  <c r="H101" i="9"/>
  <c r="I101" i="9" s="1"/>
  <c r="H100" i="9"/>
  <c r="I100" i="9" s="1"/>
  <c r="H99" i="9"/>
  <c r="I99" i="9" s="1"/>
  <c r="I98" i="9"/>
  <c r="H98" i="9"/>
  <c r="H97" i="9"/>
  <c r="I97" i="9" s="1"/>
  <c r="I96" i="9"/>
  <c r="H96" i="9"/>
  <c r="H95" i="9"/>
  <c r="I95" i="9" s="1"/>
  <c r="H94" i="9"/>
  <c r="I94" i="9" s="1"/>
  <c r="H93" i="9"/>
  <c r="I93" i="9" s="1"/>
  <c r="H92" i="9"/>
  <c r="I92" i="9" s="1"/>
  <c r="H91" i="9"/>
  <c r="I91" i="9" s="1"/>
  <c r="H90" i="9"/>
  <c r="I90" i="9" s="1"/>
  <c r="H89" i="9"/>
  <c r="I89" i="9" s="1"/>
  <c r="H88" i="9"/>
  <c r="I88" i="9" s="1"/>
  <c r="H87" i="9"/>
  <c r="I87" i="9" s="1"/>
  <c r="H86" i="9"/>
  <c r="I86" i="9" s="1"/>
  <c r="H85" i="9"/>
  <c r="I85" i="9" s="1"/>
  <c r="H84" i="9"/>
  <c r="I84" i="9" s="1"/>
  <c r="H83" i="9"/>
  <c r="I83" i="9" s="1"/>
  <c r="H82" i="9"/>
  <c r="I82" i="9" s="1"/>
  <c r="H81" i="9"/>
  <c r="I81" i="9" s="1"/>
  <c r="H80" i="9"/>
  <c r="I80" i="9" s="1"/>
  <c r="H79" i="9"/>
  <c r="I79" i="9" s="1"/>
  <c r="H78" i="9"/>
  <c r="I78" i="9" s="1"/>
  <c r="I77" i="9"/>
  <c r="H77" i="9"/>
  <c r="H76" i="9"/>
  <c r="I76" i="9" s="1"/>
  <c r="H75" i="9"/>
  <c r="I75" i="9" s="1"/>
  <c r="H74" i="9"/>
  <c r="I74" i="9" s="1"/>
  <c r="H73" i="9"/>
  <c r="I73" i="9" s="1"/>
  <c r="H72" i="9"/>
  <c r="I72" i="9" s="1"/>
  <c r="H71" i="9"/>
  <c r="I71" i="9" s="1"/>
  <c r="H70" i="9"/>
  <c r="I70" i="9" s="1"/>
  <c r="H69" i="9"/>
  <c r="I69" i="9" s="1"/>
  <c r="H68" i="9"/>
  <c r="I68" i="9" s="1"/>
  <c r="H67" i="9"/>
  <c r="I67" i="9" s="1"/>
  <c r="H66" i="9"/>
  <c r="I66" i="9" s="1"/>
  <c r="H65" i="9"/>
  <c r="I65" i="9" s="1"/>
  <c r="H64" i="9"/>
  <c r="I64" i="9" s="1"/>
  <c r="H63" i="9"/>
  <c r="I63" i="9" s="1"/>
  <c r="H62" i="9"/>
  <c r="I62" i="9" s="1"/>
  <c r="I61" i="9"/>
  <c r="H61" i="9"/>
  <c r="H60" i="9"/>
  <c r="I60" i="9" s="1"/>
  <c r="I59" i="9"/>
  <c r="H59" i="9"/>
  <c r="H58" i="9"/>
  <c r="I58" i="9" s="1"/>
  <c r="H57" i="9"/>
  <c r="I57" i="9" s="1"/>
  <c r="H56" i="9"/>
  <c r="I56" i="9" s="1"/>
  <c r="H55" i="9"/>
  <c r="I55" i="9" s="1"/>
  <c r="H54" i="9"/>
  <c r="I54" i="9" s="1"/>
  <c r="H53" i="9"/>
  <c r="I53" i="9" s="1"/>
  <c r="H52" i="9"/>
  <c r="I52" i="9" s="1"/>
  <c r="H51" i="9"/>
  <c r="I51" i="9" s="1"/>
  <c r="H50" i="9"/>
  <c r="I50" i="9" s="1"/>
  <c r="H49" i="9"/>
  <c r="I49" i="9" s="1"/>
  <c r="H48" i="9"/>
  <c r="I48" i="9" s="1"/>
  <c r="H47" i="9"/>
  <c r="I47" i="9" s="1"/>
  <c r="H46" i="9"/>
  <c r="I46" i="9" s="1"/>
  <c r="I45" i="9"/>
  <c r="H45" i="9"/>
  <c r="H44" i="9"/>
  <c r="I44" i="9" s="1"/>
  <c r="H43" i="9"/>
  <c r="I43" i="9" s="1"/>
  <c r="H42" i="9"/>
  <c r="I42" i="9" s="1"/>
  <c r="H41" i="9"/>
  <c r="I41" i="9" s="1"/>
  <c r="H40" i="9"/>
  <c r="I40" i="9" s="1"/>
  <c r="H39" i="9"/>
  <c r="I39" i="9" s="1"/>
  <c r="H38" i="9"/>
  <c r="I38" i="9" s="1"/>
  <c r="I37" i="9"/>
  <c r="H37" i="9"/>
  <c r="H36" i="9"/>
  <c r="I36" i="9" s="1"/>
  <c r="H35" i="9"/>
  <c r="I35" i="9" s="1"/>
  <c r="H34" i="9"/>
  <c r="I34" i="9" s="1"/>
  <c r="H33" i="9"/>
  <c r="I33" i="9" s="1"/>
  <c r="H32" i="9"/>
  <c r="I32" i="9" s="1"/>
  <c r="H31" i="9"/>
  <c r="I31" i="9" s="1"/>
  <c r="H30" i="9"/>
  <c r="I30" i="9" s="1"/>
  <c r="H29" i="9"/>
  <c r="I29" i="9" s="1"/>
  <c r="H28" i="9"/>
  <c r="I28" i="9" s="1"/>
  <c r="I27" i="9"/>
  <c r="H27" i="9"/>
  <c r="H26" i="9"/>
  <c r="I26" i="9" s="1"/>
  <c r="H25" i="9"/>
  <c r="I25" i="9" s="1"/>
  <c r="H24" i="9"/>
  <c r="I24" i="9" s="1"/>
  <c r="H23" i="9"/>
  <c r="I23" i="9" s="1"/>
  <c r="H22" i="9"/>
  <c r="I22" i="9" s="1"/>
  <c r="I21" i="9"/>
  <c r="H21" i="9"/>
  <c r="H20" i="9"/>
  <c r="I20" i="9" s="1"/>
  <c r="H19" i="9"/>
  <c r="I19" i="9" s="1"/>
  <c r="H18" i="9"/>
  <c r="I18" i="9" s="1"/>
  <c r="H17" i="9"/>
  <c r="I17" i="9" s="1"/>
  <c r="D12" i="9"/>
  <c r="D11" i="9"/>
  <c r="C17" i="9"/>
  <c r="H71" i="1"/>
  <c r="I71" i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/>
  <c r="H82" i="1"/>
  <c r="I82" i="1" s="1"/>
  <c r="H83" i="1"/>
  <c r="I83" i="1"/>
  <c r="H84" i="1"/>
  <c r="I84" i="1" s="1"/>
  <c r="H85" i="1"/>
  <c r="I85" i="1" s="1"/>
  <c r="H86" i="1"/>
  <c r="I86" i="1" s="1"/>
  <c r="H87" i="1"/>
  <c r="I87" i="1"/>
  <c r="H88" i="1"/>
  <c r="I88" i="1" s="1"/>
  <c r="H89" i="1"/>
  <c r="I89" i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/>
  <c r="H101" i="1"/>
  <c r="I101" i="1" s="1"/>
  <c r="H102" i="1"/>
  <c r="I102" i="1" s="1"/>
  <c r="D8" i="1"/>
  <c r="C16" i="1" s="1"/>
  <c r="D10" i="1"/>
  <c r="H66" i="6"/>
  <c r="I66" i="6" s="1"/>
  <c r="H65" i="6"/>
  <c r="I65" i="6" s="1"/>
  <c r="H64" i="6"/>
  <c r="I64" i="6" s="1"/>
  <c r="H63" i="6"/>
  <c r="I63" i="6" s="1"/>
  <c r="H62" i="6"/>
  <c r="I62" i="6" s="1"/>
  <c r="H61" i="6"/>
  <c r="I61" i="6" s="1"/>
  <c r="H60" i="6"/>
  <c r="I60" i="6" s="1"/>
  <c r="H59" i="6"/>
  <c r="I59" i="6" s="1"/>
  <c r="H58" i="6"/>
  <c r="I58" i="6" s="1"/>
  <c r="H57" i="6"/>
  <c r="I57" i="6" s="1"/>
  <c r="H56" i="6"/>
  <c r="I56" i="6" s="1"/>
  <c r="H55" i="6"/>
  <c r="I55" i="6" s="1"/>
  <c r="H54" i="6"/>
  <c r="I54" i="6" s="1"/>
  <c r="H53" i="6"/>
  <c r="I53" i="6" s="1"/>
  <c r="H52" i="6"/>
  <c r="I52" i="6" s="1"/>
  <c r="I51" i="6"/>
  <c r="H51" i="6"/>
  <c r="H50" i="6"/>
  <c r="I50" i="6" s="1"/>
  <c r="H49" i="6"/>
  <c r="I49" i="6" s="1"/>
  <c r="H48" i="6"/>
  <c r="I48" i="6" s="1"/>
  <c r="H47" i="6"/>
  <c r="I47" i="6" s="1"/>
  <c r="H46" i="6"/>
  <c r="I46" i="6" s="1"/>
  <c r="H45" i="6"/>
  <c r="I45" i="6" s="1"/>
  <c r="H44" i="6"/>
  <c r="I44" i="6" s="1"/>
  <c r="H43" i="6"/>
  <c r="I43" i="6" s="1"/>
  <c r="H42" i="6"/>
  <c r="I42" i="6" s="1"/>
  <c r="H41" i="6"/>
  <c r="I41" i="6" s="1"/>
  <c r="H40" i="6"/>
  <c r="I40" i="6" s="1"/>
  <c r="H39" i="6"/>
  <c r="I39" i="6" s="1"/>
  <c r="H38" i="6"/>
  <c r="I38" i="6" s="1"/>
  <c r="H37" i="6"/>
  <c r="I37" i="6" s="1"/>
  <c r="I36" i="6"/>
  <c r="H36" i="6"/>
  <c r="H35" i="6"/>
  <c r="I35" i="6" s="1"/>
  <c r="H34" i="6"/>
  <c r="I34" i="6" s="1"/>
  <c r="H33" i="6"/>
  <c r="I33" i="6" s="1"/>
  <c r="H32" i="6"/>
  <c r="I32" i="6" s="1"/>
  <c r="H31" i="6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I20" i="6"/>
  <c r="H20" i="6"/>
  <c r="H19" i="6"/>
  <c r="I19" i="6" s="1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D6" i="6"/>
  <c r="D7" i="6" s="1"/>
  <c r="C12" i="6"/>
  <c r="D12" i="6" s="1"/>
  <c r="H68" i="1"/>
  <c r="I68" i="1" s="1"/>
  <c r="H69" i="1"/>
  <c r="I69" i="1" s="1"/>
  <c r="H70" i="1"/>
  <c r="I70" i="1" s="1"/>
  <c r="H65" i="1"/>
  <c r="I65" i="1" s="1"/>
  <c r="H66" i="1"/>
  <c r="I66" i="1" s="1"/>
  <c r="H67" i="1"/>
  <c r="I67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52" i="1"/>
  <c r="I52" i="1" s="1"/>
  <c r="D8" i="3"/>
  <c r="D9" i="3"/>
  <c r="D10" i="3"/>
  <c r="D11" i="3"/>
  <c r="D12" i="3"/>
  <c r="D13" i="3"/>
  <c r="D14" i="3"/>
  <c r="D15" i="3"/>
  <c r="D16" i="3"/>
  <c r="D17" i="3"/>
  <c r="D18" i="3"/>
  <c r="D7" i="3"/>
  <c r="D16" i="1" l="1"/>
  <c r="F16" i="1" s="1"/>
  <c r="G16" i="1" s="1"/>
  <c r="J16" i="1" s="1"/>
  <c r="F12" i="6"/>
  <c r="D17" i="9"/>
  <c r="F17" i="9" s="1"/>
  <c r="G17" i="9" s="1"/>
  <c r="J17" i="9" s="1"/>
  <c r="K17" i="9" s="1"/>
  <c r="G12" i="6"/>
  <c r="J12" i="6" s="1"/>
  <c r="K12" i="6" s="1"/>
  <c r="D11" i="1"/>
  <c r="H17" i="1"/>
  <c r="I17" i="1" s="1"/>
  <c r="H18" i="1"/>
  <c r="I18" i="1" s="1"/>
  <c r="H19" i="1"/>
  <c r="I19" i="1" s="1"/>
  <c r="H20" i="1"/>
  <c r="I20" i="1" s="1"/>
  <c r="H21" i="1"/>
  <c r="I21" i="1" s="1"/>
  <c r="H22" i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I22" i="1"/>
  <c r="I30" i="1"/>
  <c r="C18" i="9" l="1"/>
  <c r="C13" i="6"/>
  <c r="D13" i="6" s="1"/>
  <c r="D18" i="9" l="1"/>
  <c r="F18" i="9" s="1"/>
  <c r="G18" i="9" s="1"/>
  <c r="J18" i="9" s="1"/>
  <c r="K18" i="9" s="1"/>
  <c r="F13" i="6"/>
  <c r="G13" i="6" s="1"/>
  <c r="J13" i="6" s="1"/>
  <c r="K13" i="6" s="1"/>
  <c r="K16" i="1"/>
  <c r="C19" i="9" l="1"/>
  <c r="C17" i="1"/>
  <c r="D17" i="1" s="1"/>
  <c r="F17" i="1" s="1"/>
  <c r="G17" i="1" s="1"/>
  <c r="C14" i="6"/>
  <c r="D14" i="6" s="1"/>
  <c r="D19" i="9" l="1"/>
  <c r="F19" i="9" s="1"/>
  <c r="G19" i="9" s="1"/>
  <c r="J19" i="9" s="1"/>
  <c r="K19" i="9" s="1"/>
  <c r="F14" i="6"/>
  <c r="G14" i="6" s="1"/>
  <c r="J14" i="6" s="1"/>
  <c r="K14" i="6" s="1"/>
  <c r="J17" i="1"/>
  <c r="K17" i="1" s="1"/>
  <c r="C20" i="9" l="1"/>
  <c r="C18" i="1"/>
  <c r="D18" i="1" s="1"/>
  <c r="F18" i="1" s="1"/>
  <c r="G18" i="1" s="1"/>
  <c r="C15" i="6"/>
  <c r="D15" i="6" s="1"/>
  <c r="D20" i="9" l="1"/>
  <c r="F20" i="9" s="1"/>
  <c r="G20" i="9" s="1"/>
  <c r="J20" i="9" s="1"/>
  <c r="K20" i="9" s="1"/>
  <c r="F15" i="6"/>
  <c r="G15" i="6" s="1"/>
  <c r="J15" i="6" s="1"/>
  <c r="K15" i="6" s="1"/>
  <c r="J18" i="1"/>
  <c r="C21" i="9" l="1"/>
  <c r="C16" i="6"/>
  <c r="D16" i="6" s="1"/>
  <c r="K18" i="1"/>
  <c r="D21" i="9" l="1"/>
  <c r="F21" i="9" s="1"/>
  <c r="G21" i="9" s="1"/>
  <c r="J21" i="9" s="1"/>
  <c r="K21" i="9" s="1"/>
  <c r="C19" i="1"/>
  <c r="D19" i="1" s="1"/>
  <c r="F16" i="6"/>
  <c r="G16" i="6" s="1"/>
  <c r="J16" i="6" s="1"/>
  <c r="K16" i="6" s="1"/>
  <c r="C22" i="9" l="1"/>
  <c r="C17" i="6"/>
  <c r="D17" i="6" s="1"/>
  <c r="F19" i="1"/>
  <c r="G19" i="1" s="1"/>
  <c r="J19" i="1" s="1"/>
  <c r="K19" i="1" s="1"/>
  <c r="D22" i="9" l="1"/>
  <c r="F22" i="9" s="1"/>
  <c r="G22" i="9" s="1"/>
  <c r="J22" i="9" s="1"/>
  <c r="K22" i="9" s="1"/>
  <c r="C23" i="9" s="1"/>
  <c r="C20" i="1"/>
  <c r="D20" i="1" s="1"/>
  <c r="F17" i="6"/>
  <c r="G17" i="6" s="1"/>
  <c r="J17" i="6" s="1"/>
  <c r="K17" i="6" s="1"/>
  <c r="C18" i="6" s="1"/>
  <c r="D18" i="6" s="1"/>
  <c r="D23" i="9" l="1"/>
  <c r="F23" i="9" s="1"/>
  <c r="G23" i="9" s="1"/>
  <c r="J23" i="9" s="1"/>
  <c r="K23" i="9" s="1"/>
  <c r="C24" i="9" s="1"/>
  <c r="F18" i="6"/>
  <c r="G18" i="6" s="1"/>
  <c r="J18" i="6" s="1"/>
  <c r="K18" i="6" s="1"/>
  <c r="C19" i="6" s="1"/>
  <c r="D19" i="6" s="1"/>
  <c r="F20" i="1"/>
  <c r="G20" i="1" s="1"/>
  <c r="D24" i="9" l="1"/>
  <c r="F24" i="9" s="1"/>
  <c r="G24" i="9" s="1"/>
  <c r="J24" i="9" s="1"/>
  <c r="K24" i="9" s="1"/>
  <c r="F19" i="6"/>
  <c r="G19" i="6" s="1"/>
  <c r="J19" i="6" s="1"/>
  <c r="K19" i="6" s="1"/>
  <c r="C20" i="6" s="1"/>
  <c r="D20" i="6" s="1"/>
  <c r="J20" i="1"/>
  <c r="K20" i="1" s="1"/>
  <c r="C25" i="9" l="1"/>
  <c r="O19" i="9"/>
  <c r="C21" i="1"/>
  <c r="D21" i="1" s="1"/>
  <c r="F20" i="6"/>
  <c r="G20" i="6" s="1"/>
  <c r="J20" i="6" s="1"/>
  <c r="K20" i="6" s="1"/>
  <c r="C21" i="6" s="1"/>
  <c r="D21" i="6" s="1"/>
  <c r="D25" i="9" l="1"/>
  <c r="F25" i="9" s="1"/>
  <c r="G25" i="9" s="1"/>
  <c r="J25" i="9" s="1"/>
  <c r="K25" i="9" s="1"/>
  <c r="C26" i="9" s="1"/>
  <c r="F21" i="6"/>
  <c r="G21" i="6" s="1"/>
  <c r="J21" i="6" s="1"/>
  <c r="K21" i="6" s="1"/>
  <c r="C22" i="6" s="1"/>
  <c r="D22" i="6" s="1"/>
  <c r="F21" i="1"/>
  <c r="D26" i="9" l="1"/>
  <c r="F26" i="9" s="1"/>
  <c r="G26" i="9" s="1"/>
  <c r="J26" i="9" s="1"/>
  <c r="K26" i="9" s="1"/>
  <c r="C27" i="9" s="1"/>
  <c r="F22" i="6"/>
  <c r="G22" i="6" s="1"/>
  <c r="J22" i="6" s="1"/>
  <c r="K22" i="6" s="1"/>
  <c r="C23" i="6" s="1"/>
  <c r="D23" i="6" s="1"/>
  <c r="G21" i="1"/>
  <c r="J21" i="1" s="1"/>
  <c r="K21" i="1" s="1"/>
  <c r="D27" i="9" l="1"/>
  <c r="F27" i="9" s="1"/>
  <c r="G27" i="9" s="1"/>
  <c r="J27" i="9" s="1"/>
  <c r="K27" i="9" s="1"/>
  <c r="C28" i="9" s="1"/>
  <c r="C22" i="1"/>
  <c r="D22" i="1" s="1"/>
  <c r="F22" i="1" s="1"/>
  <c r="G22" i="1" s="1"/>
  <c r="J22" i="1" s="1"/>
  <c r="K22" i="1" s="1"/>
  <c r="C23" i="1" s="1"/>
  <c r="F23" i="6"/>
  <c r="G23" i="6" s="1"/>
  <c r="J23" i="6" s="1"/>
  <c r="K23" i="6" s="1"/>
  <c r="C24" i="6" s="1"/>
  <c r="D24" i="6" s="1"/>
  <c r="D28" i="9" l="1"/>
  <c r="F28" i="9" s="1"/>
  <c r="G28" i="9" s="1"/>
  <c r="J28" i="9" s="1"/>
  <c r="K28" i="9" s="1"/>
  <c r="C29" i="9" s="1"/>
  <c r="F24" i="6"/>
  <c r="G24" i="6" s="1"/>
  <c r="J24" i="6" s="1"/>
  <c r="K24" i="6" s="1"/>
  <c r="C25" i="6" s="1"/>
  <c r="D25" i="6" s="1"/>
  <c r="D23" i="1"/>
  <c r="D29" i="9" l="1"/>
  <c r="F29" i="9" s="1"/>
  <c r="G29" i="9" s="1"/>
  <c r="J29" i="9" s="1"/>
  <c r="K29" i="9" s="1"/>
  <c r="C30" i="9" s="1"/>
  <c r="F25" i="6"/>
  <c r="G25" i="6" s="1"/>
  <c r="J25" i="6" s="1"/>
  <c r="K25" i="6" s="1"/>
  <c r="C26" i="6" s="1"/>
  <c r="D26" i="6" s="1"/>
  <c r="F23" i="1"/>
  <c r="G23" i="1" s="1"/>
  <c r="D30" i="9" l="1"/>
  <c r="F30" i="9" s="1"/>
  <c r="G30" i="9" s="1"/>
  <c r="J30" i="9" s="1"/>
  <c r="K30" i="9" s="1"/>
  <c r="C31" i="9" s="1"/>
  <c r="F26" i="6"/>
  <c r="G26" i="6" s="1"/>
  <c r="J26" i="6" s="1"/>
  <c r="K26" i="6" s="1"/>
  <c r="C27" i="6" s="1"/>
  <c r="D27" i="6" s="1"/>
  <c r="J23" i="1"/>
  <c r="D31" i="9" l="1"/>
  <c r="F31" i="9" s="1"/>
  <c r="G31" i="9" s="1"/>
  <c r="J31" i="9" s="1"/>
  <c r="K31" i="9" s="1"/>
  <c r="C32" i="9" s="1"/>
  <c r="F27" i="6"/>
  <c r="G27" i="6" s="1"/>
  <c r="J27" i="6" s="1"/>
  <c r="K27" i="6" s="1"/>
  <c r="C28" i="6" s="1"/>
  <c r="D28" i="6" s="1"/>
  <c r="K23" i="1"/>
  <c r="D32" i="9" l="1"/>
  <c r="F32" i="9" s="1"/>
  <c r="G32" i="9" s="1"/>
  <c r="J32" i="9" s="1"/>
  <c r="K32" i="9" s="1"/>
  <c r="C33" i="9" s="1"/>
  <c r="C24" i="1"/>
  <c r="D24" i="1" s="1"/>
  <c r="O18" i="1"/>
  <c r="F28" i="6"/>
  <c r="G28" i="6" s="1"/>
  <c r="J28" i="6" s="1"/>
  <c r="K28" i="6" s="1"/>
  <c r="C29" i="6" s="1"/>
  <c r="D29" i="6" s="1"/>
  <c r="D33" i="9" l="1"/>
  <c r="F33" i="9" s="1"/>
  <c r="G33" i="9" s="1"/>
  <c r="J33" i="9" s="1"/>
  <c r="K33" i="9" s="1"/>
  <c r="C34" i="9" s="1"/>
  <c r="F29" i="6"/>
  <c r="G29" i="6" s="1"/>
  <c r="J29" i="6" s="1"/>
  <c r="K29" i="6" s="1"/>
  <c r="C30" i="6" s="1"/>
  <c r="D30" i="6" s="1"/>
  <c r="F24" i="1"/>
  <c r="G24" i="1" s="1"/>
  <c r="D34" i="9" l="1"/>
  <c r="F34" i="9" s="1"/>
  <c r="G34" i="9" s="1"/>
  <c r="J34" i="9" s="1"/>
  <c r="K34" i="9" s="1"/>
  <c r="C35" i="9" s="1"/>
  <c r="F30" i="6"/>
  <c r="G30" i="6" s="1"/>
  <c r="J30" i="6" s="1"/>
  <c r="K30" i="6" s="1"/>
  <c r="C31" i="6" s="1"/>
  <c r="D31" i="6" s="1"/>
  <c r="J24" i="1"/>
  <c r="K24" i="1" s="1"/>
  <c r="C25" i="1" s="1"/>
  <c r="D25" i="1" s="1"/>
  <c r="D35" i="9" l="1"/>
  <c r="F35" i="9" s="1"/>
  <c r="G35" i="9" s="1"/>
  <c r="J35" i="9" s="1"/>
  <c r="K35" i="9" s="1"/>
  <c r="C36" i="9" s="1"/>
  <c r="F31" i="6"/>
  <c r="G31" i="6" s="1"/>
  <c r="J31" i="6" s="1"/>
  <c r="K31" i="6" s="1"/>
  <c r="C32" i="6" s="1"/>
  <c r="D32" i="6" s="1"/>
  <c r="D36" i="9" l="1"/>
  <c r="F36" i="9" s="1"/>
  <c r="G36" i="9" s="1"/>
  <c r="J36" i="9" s="1"/>
  <c r="K36" i="9" s="1"/>
  <c r="C37" i="9" s="1"/>
  <c r="F32" i="6"/>
  <c r="G32" i="6" s="1"/>
  <c r="J32" i="6" s="1"/>
  <c r="K32" i="6" s="1"/>
  <c r="C33" i="6" s="1"/>
  <c r="D33" i="6" s="1"/>
  <c r="F25" i="1"/>
  <c r="G25" i="1" s="1"/>
  <c r="D37" i="9" l="1"/>
  <c r="F37" i="9" s="1"/>
  <c r="G37" i="9" s="1"/>
  <c r="J37" i="9" s="1"/>
  <c r="K37" i="9" s="1"/>
  <c r="C38" i="9" s="1"/>
  <c r="F33" i="6"/>
  <c r="G33" i="6" s="1"/>
  <c r="J33" i="6" s="1"/>
  <c r="K33" i="6" s="1"/>
  <c r="C34" i="6" s="1"/>
  <c r="D34" i="6" s="1"/>
  <c r="J25" i="1"/>
  <c r="K25" i="1" s="1"/>
  <c r="C26" i="1" s="1"/>
  <c r="D38" i="9" l="1"/>
  <c r="F38" i="9" s="1"/>
  <c r="G38" i="9" s="1"/>
  <c r="J38" i="9" s="1"/>
  <c r="K38" i="9" s="1"/>
  <c r="C39" i="9" s="1"/>
  <c r="F34" i="6"/>
  <c r="G34" i="6" s="1"/>
  <c r="J34" i="6" s="1"/>
  <c r="K34" i="6" s="1"/>
  <c r="C35" i="6" s="1"/>
  <c r="D35" i="6" s="1"/>
  <c r="D26" i="1"/>
  <c r="D39" i="9" l="1"/>
  <c r="F39" i="9" s="1"/>
  <c r="G39" i="9" s="1"/>
  <c r="J39" i="9" s="1"/>
  <c r="K39" i="9" s="1"/>
  <c r="C40" i="9" s="1"/>
  <c r="F35" i="6"/>
  <c r="G35" i="6" s="1"/>
  <c r="J35" i="6" s="1"/>
  <c r="K35" i="6" s="1"/>
  <c r="C36" i="6" s="1"/>
  <c r="D36" i="6" s="1"/>
  <c r="F26" i="1"/>
  <c r="G26" i="1" s="1"/>
  <c r="D40" i="9" l="1"/>
  <c r="F40" i="9" s="1"/>
  <c r="G40" i="9" s="1"/>
  <c r="J40" i="9" s="1"/>
  <c r="K40" i="9" s="1"/>
  <c r="C41" i="9" s="1"/>
  <c r="F36" i="6"/>
  <c r="G36" i="6" s="1"/>
  <c r="J36" i="6" s="1"/>
  <c r="K36" i="6" s="1"/>
  <c r="C37" i="6" s="1"/>
  <c r="D37" i="6" s="1"/>
  <c r="J26" i="1"/>
  <c r="K26" i="1" s="1"/>
  <c r="C27" i="1" s="1"/>
  <c r="D41" i="9" l="1"/>
  <c r="F41" i="9" s="1"/>
  <c r="G41" i="9" s="1"/>
  <c r="J41" i="9" s="1"/>
  <c r="K41" i="9" s="1"/>
  <c r="C42" i="9" s="1"/>
  <c r="F37" i="6"/>
  <c r="G37" i="6" s="1"/>
  <c r="J37" i="6" s="1"/>
  <c r="K37" i="6" s="1"/>
  <c r="C38" i="6" s="1"/>
  <c r="D38" i="6" s="1"/>
  <c r="D27" i="1"/>
  <c r="F27" i="1" s="1"/>
  <c r="G27" i="1" s="1"/>
  <c r="D42" i="9" l="1"/>
  <c r="F42" i="9" s="1"/>
  <c r="G42" i="9" s="1"/>
  <c r="J42" i="9" s="1"/>
  <c r="K42" i="9" s="1"/>
  <c r="C43" i="9" s="1"/>
  <c r="F38" i="6"/>
  <c r="G38" i="6" s="1"/>
  <c r="J38" i="6" s="1"/>
  <c r="K38" i="6" s="1"/>
  <c r="C39" i="6" s="1"/>
  <c r="D39" i="6" s="1"/>
  <c r="J27" i="1"/>
  <c r="K27" i="1" s="1"/>
  <c r="C28" i="1" s="1"/>
  <c r="D43" i="9" l="1"/>
  <c r="F43" i="9" s="1"/>
  <c r="G43" i="9" s="1"/>
  <c r="J43" i="9" s="1"/>
  <c r="K43" i="9" s="1"/>
  <c r="C44" i="9" s="1"/>
  <c r="F39" i="6"/>
  <c r="G39" i="6" s="1"/>
  <c r="J39" i="6" s="1"/>
  <c r="K39" i="6" s="1"/>
  <c r="C40" i="6" s="1"/>
  <c r="D40" i="6" s="1"/>
  <c r="D28" i="1"/>
  <c r="D44" i="9" l="1"/>
  <c r="F44" i="9" s="1"/>
  <c r="G44" i="9" s="1"/>
  <c r="J44" i="9" s="1"/>
  <c r="K44" i="9" s="1"/>
  <c r="C45" i="9" s="1"/>
  <c r="F40" i="6"/>
  <c r="G40" i="6" s="1"/>
  <c r="J40" i="6" s="1"/>
  <c r="K40" i="6" s="1"/>
  <c r="C41" i="6" s="1"/>
  <c r="D41" i="6" s="1"/>
  <c r="F28" i="1"/>
  <c r="G28" i="1" s="1"/>
  <c r="D45" i="9" l="1"/>
  <c r="F45" i="9" s="1"/>
  <c r="G45" i="9" s="1"/>
  <c r="J45" i="9" s="1"/>
  <c r="K45" i="9" s="1"/>
  <c r="C46" i="9" s="1"/>
  <c r="F41" i="6"/>
  <c r="G41" i="6" s="1"/>
  <c r="J41" i="6" s="1"/>
  <c r="K41" i="6" s="1"/>
  <c r="C42" i="6" s="1"/>
  <c r="D42" i="6" s="1"/>
  <c r="J28" i="1"/>
  <c r="K28" i="1" s="1"/>
  <c r="C29" i="1" s="1"/>
  <c r="D46" i="9" l="1"/>
  <c r="F46" i="9" s="1"/>
  <c r="G46" i="9" s="1"/>
  <c r="J46" i="9" s="1"/>
  <c r="K46" i="9" s="1"/>
  <c r="C47" i="9" s="1"/>
  <c r="F42" i="6"/>
  <c r="G42" i="6" s="1"/>
  <c r="J42" i="6" s="1"/>
  <c r="K42" i="6" s="1"/>
  <c r="C43" i="6" s="1"/>
  <c r="D43" i="6" s="1"/>
  <c r="D29" i="1"/>
  <c r="D47" i="9" l="1"/>
  <c r="F47" i="9" s="1"/>
  <c r="G47" i="9" s="1"/>
  <c r="J47" i="9" s="1"/>
  <c r="K47" i="9" s="1"/>
  <c r="C48" i="9" s="1"/>
  <c r="F43" i="6"/>
  <c r="G43" i="6" s="1"/>
  <c r="J43" i="6" s="1"/>
  <c r="K43" i="6" s="1"/>
  <c r="C44" i="6" s="1"/>
  <c r="D44" i="6" s="1"/>
  <c r="F29" i="1"/>
  <c r="G29" i="1" s="1"/>
  <c r="D48" i="9" l="1"/>
  <c r="F48" i="9" s="1"/>
  <c r="G48" i="9" s="1"/>
  <c r="J48" i="9" s="1"/>
  <c r="K48" i="9" s="1"/>
  <c r="C49" i="9" s="1"/>
  <c r="F44" i="6"/>
  <c r="G44" i="6" s="1"/>
  <c r="J44" i="6" s="1"/>
  <c r="K44" i="6" s="1"/>
  <c r="C45" i="6" s="1"/>
  <c r="D45" i="6" s="1"/>
  <c r="J29" i="1"/>
  <c r="K29" i="1" s="1"/>
  <c r="C30" i="1" s="1"/>
  <c r="D49" i="9" l="1"/>
  <c r="F49" i="9" s="1"/>
  <c r="G49" i="9" s="1"/>
  <c r="J49" i="9" s="1"/>
  <c r="K49" i="9" s="1"/>
  <c r="C50" i="9" s="1"/>
  <c r="F45" i="6"/>
  <c r="G45" i="6" s="1"/>
  <c r="J45" i="6" s="1"/>
  <c r="K45" i="6" s="1"/>
  <c r="C46" i="6" s="1"/>
  <c r="D46" i="6" s="1"/>
  <c r="D30" i="1"/>
  <c r="D50" i="9" l="1"/>
  <c r="F50" i="9" s="1"/>
  <c r="G50" i="9" s="1"/>
  <c r="J50" i="9" s="1"/>
  <c r="K50" i="9" s="1"/>
  <c r="C51" i="9" s="1"/>
  <c r="F46" i="6"/>
  <c r="G46" i="6" s="1"/>
  <c r="J46" i="6" s="1"/>
  <c r="K46" i="6" s="1"/>
  <c r="C47" i="6" s="1"/>
  <c r="D47" i="6" s="1"/>
  <c r="F30" i="1"/>
  <c r="D51" i="9" l="1"/>
  <c r="F51" i="9" s="1"/>
  <c r="G51" i="9" s="1"/>
  <c r="J51" i="9" s="1"/>
  <c r="K51" i="9" s="1"/>
  <c r="C52" i="9" s="1"/>
  <c r="F47" i="6"/>
  <c r="G47" i="6" s="1"/>
  <c r="J47" i="6" s="1"/>
  <c r="K47" i="6" s="1"/>
  <c r="C48" i="6" s="1"/>
  <c r="D48" i="6" s="1"/>
  <c r="G30" i="1"/>
  <c r="J30" i="1" s="1"/>
  <c r="K30" i="1" s="1"/>
  <c r="C31" i="1" s="1"/>
  <c r="D52" i="9" l="1"/>
  <c r="F52" i="9" s="1"/>
  <c r="G52" i="9" s="1"/>
  <c r="J52" i="9" s="1"/>
  <c r="K52" i="9" s="1"/>
  <c r="C53" i="9" s="1"/>
  <c r="F48" i="6"/>
  <c r="G48" i="6" s="1"/>
  <c r="J48" i="6" s="1"/>
  <c r="K48" i="6" s="1"/>
  <c r="C49" i="6" s="1"/>
  <c r="D49" i="6" s="1"/>
  <c r="D31" i="1"/>
  <c r="F31" i="1" s="1"/>
  <c r="D53" i="9" l="1"/>
  <c r="F53" i="9" s="1"/>
  <c r="G53" i="9" s="1"/>
  <c r="J53" i="9" s="1"/>
  <c r="K53" i="9" s="1"/>
  <c r="C54" i="9" s="1"/>
  <c r="F49" i="6"/>
  <c r="G49" i="6" s="1"/>
  <c r="J49" i="6" s="1"/>
  <c r="K49" i="6" s="1"/>
  <c r="C50" i="6" s="1"/>
  <c r="D50" i="6" s="1"/>
  <c r="G31" i="1"/>
  <c r="J31" i="1" s="1"/>
  <c r="K31" i="1" s="1"/>
  <c r="C32" i="1" s="1"/>
  <c r="D54" i="9" l="1"/>
  <c r="F54" i="9" s="1"/>
  <c r="G54" i="9" s="1"/>
  <c r="J54" i="9" s="1"/>
  <c r="K54" i="9" s="1"/>
  <c r="C55" i="9" s="1"/>
  <c r="F50" i="6"/>
  <c r="G50" i="6" s="1"/>
  <c r="J50" i="6" s="1"/>
  <c r="K50" i="6" s="1"/>
  <c r="C51" i="6" s="1"/>
  <c r="D51" i="6" s="1"/>
  <c r="D32" i="1"/>
  <c r="D55" i="9" l="1"/>
  <c r="F55" i="9" s="1"/>
  <c r="G55" i="9" s="1"/>
  <c r="J55" i="9" s="1"/>
  <c r="K55" i="9" s="1"/>
  <c r="C56" i="9" s="1"/>
  <c r="F51" i="6"/>
  <c r="G51" i="6" s="1"/>
  <c r="J51" i="6" s="1"/>
  <c r="K51" i="6" s="1"/>
  <c r="C52" i="6" s="1"/>
  <c r="D52" i="6" s="1"/>
  <c r="F32" i="1"/>
  <c r="G32" i="1" s="1"/>
  <c r="D56" i="9" l="1"/>
  <c r="F56" i="9" s="1"/>
  <c r="G56" i="9" s="1"/>
  <c r="J56" i="9" s="1"/>
  <c r="K56" i="9" s="1"/>
  <c r="C57" i="9" s="1"/>
  <c r="F52" i="6"/>
  <c r="G52" i="6" s="1"/>
  <c r="J52" i="6" s="1"/>
  <c r="K52" i="6" s="1"/>
  <c r="C53" i="6" s="1"/>
  <c r="D53" i="6" s="1"/>
  <c r="J32" i="1"/>
  <c r="K32" i="1" s="1"/>
  <c r="C33" i="1" s="1"/>
  <c r="D57" i="9" l="1"/>
  <c r="F57" i="9" s="1"/>
  <c r="G57" i="9" s="1"/>
  <c r="J57" i="9" s="1"/>
  <c r="K57" i="9" s="1"/>
  <c r="C58" i="9" s="1"/>
  <c r="F53" i="6"/>
  <c r="G53" i="6" s="1"/>
  <c r="J53" i="6" s="1"/>
  <c r="K53" i="6" s="1"/>
  <c r="C54" i="6" s="1"/>
  <c r="D54" i="6" s="1"/>
  <c r="D33" i="1"/>
  <c r="D58" i="9" l="1"/>
  <c r="F58" i="9" s="1"/>
  <c r="G58" i="9" s="1"/>
  <c r="J58" i="9" s="1"/>
  <c r="K58" i="9" s="1"/>
  <c r="C59" i="9" s="1"/>
  <c r="F54" i="6"/>
  <c r="G54" i="6" s="1"/>
  <c r="J54" i="6" s="1"/>
  <c r="K54" i="6" s="1"/>
  <c r="C55" i="6" s="1"/>
  <c r="D55" i="6" s="1"/>
  <c r="F33" i="1"/>
  <c r="G33" i="1" s="1"/>
  <c r="D59" i="9" l="1"/>
  <c r="F59" i="9" s="1"/>
  <c r="G59" i="9" s="1"/>
  <c r="J59" i="9" s="1"/>
  <c r="K59" i="9" s="1"/>
  <c r="C60" i="9" s="1"/>
  <c r="F55" i="6"/>
  <c r="G55" i="6" s="1"/>
  <c r="J55" i="6" s="1"/>
  <c r="K55" i="6" s="1"/>
  <c r="C56" i="6" s="1"/>
  <c r="D56" i="6" s="1"/>
  <c r="J33" i="1"/>
  <c r="D60" i="9" l="1"/>
  <c r="F60" i="9" s="1"/>
  <c r="G60" i="9" s="1"/>
  <c r="J60" i="9" s="1"/>
  <c r="K60" i="9" s="1"/>
  <c r="C61" i="9" s="1"/>
  <c r="F56" i="6"/>
  <c r="G56" i="6" s="1"/>
  <c r="J56" i="6" s="1"/>
  <c r="K56" i="6" s="1"/>
  <c r="C57" i="6" s="1"/>
  <c r="D57" i="6" s="1"/>
  <c r="K33" i="1"/>
  <c r="C34" i="1" s="1"/>
  <c r="D61" i="9" l="1"/>
  <c r="F61" i="9" s="1"/>
  <c r="G61" i="9" s="1"/>
  <c r="J61" i="9" s="1"/>
  <c r="K61" i="9" s="1"/>
  <c r="C62" i="9" s="1"/>
  <c r="F57" i="6"/>
  <c r="G57" i="6" s="1"/>
  <c r="J57" i="6" s="1"/>
  <c r="K57" i="6" s="1"/>
  <c r="C58" i="6" s="1"/>
  <c r="D58" i="6" s="1"/>
  <c r="D34" i="1"/>
  <c r="D62" i="9" l="1"/>
  <c r="F62" i="9" s="1"/>
  <c r="G62" i="9" s="1"/>
  <c r="J62" i="9" s="1"/>
  <c r="K62" i="9" s="1"/>
  <c r="C63" i="9" s="1"/>
  <c r="F58" i="6"/>
  <c r="G58" i="6" s="1"/>
  <c r="J58" i="6" s="1"/>
  <c r="K58" i="6" s="1"/>
  <c r="C59" i="6" s="1"/>
  <c r="D59" i="6" s="1"/>
  <c r="F34" i="1"/>
  <c r="G34" i="1" s="1"/>
  <c r="D63" i="9" l="1"/>
  <c r="F63" i="9" s="1"/>
  <c r="G63" i="9" s="1"/>
  <c r="J63" i="9" s="1"/>
  <c r="K63" i="9" s="1"/>
  <c r="C64" i="9" s="1"/>
  <c r="F59" i="6"/>
  <c r="G59" i="6" s="1"/>
  <c r="J59" i="6" s="1"/>
  <c r="K59" i="6" s="1"/>
  <c r="C60" i="6" s="1"/>
  <c r="D60" i="6" s="1"/>
  <c r="J34" i="1"/>
  <c r="D64" i="9" l="1"/>
  <c r="F64" i="9" s="1"/>
  <c r="G64" i="9" s="1"/>
  <c r="J64" i="9" s="1"/>
  <c r="K64" i="9" s="1"/>
  <c r="C65" i="9" s="1"/>
  <c r="F60" i="6"/>
  <c r="G60" i="6" s="1"/>
  <c r="J60" i="6" s="1"/>
  <c r="K60" i="6" s="1"/>
  <c r="C61" i="6" s="1"/>
  <c r="D61" i="6" s="1"/>
  <c r="K34" i="1"/>
  <c r="C35" i="1" s="1"/>
  <c r="D65" i="9" l="1"/>
  <c r="F65" i="9" s="1"/>
  <c r="G65" i="9" s="1"/>
  <c r="J65" i="9" s="1"/>
  <c r="K65" i="9" s="1"/>
  <c r="C66" i="9" s="1"/>
  <c r="F61" i="6"/>
  <c r="G61" i="6" s="1"/>
  <c r="J61" i="6" s="1"/>
  <c r="K61" i="6" s="1"/>
  <c r="C62" i="6" s="1"/>
  <c r="D62" i="6" s="1"/>
  <c r="D35" i="1"/>
  <c r="D66" i="9" l="1"/>
  <c r="F66" i="9" s="1"/>
  <c r="G66" i="9" s="1"/>
  <c r="J66" i="9" s="1"/>
  <c r="K66" i="9" s="1"/>
  <c r="C67" i="9" s="1"/>
  <c r="F62" i="6"/>
  <c r="G62" i="6" s="1"/>
  <c r="J62" i="6" s="1"/>
  <c r="K62" i="6" s="1"/>
  <c r="C63" i="6" s="1"/>
  <c r="D63" i="6" s="1"/>
  <c r="F35" i="1"/>
  <c r="G35" i="1" s="1"/>
  <c r="D67" i="9" l="1"/>
  <c r="F67" i="9" s="1"/>
  <c r="G67" i="9" s="1"/>
  <c r="J67" i="9" s="1"/>
  <c r="K67" i="9" s="1"/>
  <c r="C68" i="9" s="1"/>
  <c r="F63" i="6"/>
  <c r="G63" i="6" s="1"/>
  <c r="J63" i="6" s="1"/>
  <c r="K63" i="6" s="1"/>
  <c r="J35" i="1"/>
  <c r="K35" i="1" s="1"/>
  <c r="C36" i="1" s="1"/>
  <c r="D68" i="9" l="1"/>
  <c r="F68" i="9" s="1"/>
  <c r="G68" i="9" s="1"/>
  <c r="J68" i="9" s="1"/>
  <c r="K68" i="9" s="1"/>
  <c r="C69" i="9" s="1"/>
  <c r="C64" i="6"/>
  <c r="D64" i="6" s="1"/>
  <c r="D36" i="1"/>
  <c r="D69" i="9" l="1"/>
  <c r="F69" i="9" s="1"/>
  <c r="G69" i="9" s="1"/>
  <c r="J69" i="9" s="1"/>
  <c r="K69" i="9" s="1"/>
  <c r="C70" i="9" s="1"/>
  <c r="F64" i="6"/>
  <c r="G64" i="6" s="1"/>
  <c r="F36" i="1"/>
  <c r="D70" i="9" l="1"/>
  <c r="F70" i="9" s="1"/>
  <c r="G70" i="9" s="1"/>
  <c r="J70" i="9" s="1"/>
  <c r="K70" i="9" s="1"/>
  <c r="C71" i="9" s="1"/>
  <c r="J64" i="6"/>
  <c r="K64" i="6" s="1"/>
  <c r="C65" i="6" s="1"/>
  <c r="D65" i="6" s="1"/>
  <c r="F65" i="6" s="1"/>
  <c r="G65" i="6" s="1"/>
  <c r="J65" i="6" s="1"/>
  <c r="K65" i="6" s="1"/>
  <c r="C66" i="6" s="1"/>
  <c r="D66" i="6" s="1"/>
  <c r="G36" i="1"/>
  <c r="J36" i="1" s="1"/>
  <c r="K36" i="1" s="1"/>
  <c r="C37" i="1" s="1"/>
  <c r="D71" i="9" l="1"/>
  <c r="F71" i="9" s="1"/>
  <c r="G71" i="9" s="1"/>
  <c r="J71" i="9" s="1"/>
  <c r="K71" i="9" s="1"/>
  <c r="C72" i="9" s="1"/>
  <c r="F66" i="6"/>
  <c r="G66" i="6" s="1"/>
  <c r="J66" i="6" s="1"/>
  <c r="K66" i="6" s="1"/>
  <c r="D37" i="1"/>
  <c r="F37" i="1" s="1"/>
  <c r="G37" i="1" s="1"/>
  <c r="J37" i="1" s="1"/>
  <c r="D72" i="9" l="1"/>
  <c r="F72" i="9" s="1"/>
  <c r="G72" i="9" s="1"/>
  <c r="J72" i="9" s="1"/>
  <c r="K72" i="9" s="1"/>
  <c r="C73" i="9" s="1"/>
  <c r="K37" i="1"/>
  <c r="C38" i="1" s="1"/>
  <c r="D73" i="9" l="1"/>
  <c r="F73" i="9" s="1"/>
  <c r="G73" i="9" s="1"/>
  <c r="J73" i="9" s="1"/>
  <c r="K73" i="9" s="1"/>
  <c r="C74" i="9" s="1"/>
  <c r="D38" i="1"/>
  <c r="F38" i="1" s="1"/>
  <c r="G38" i="1" s="1"/>
  <c r="D74" i="9" l="1"/>
  <c r="F74" i="9" s="1"/>
  <c r="G74" i="9" s="1"/>
  <c r="J74" i="9" s="1"/>
  <c r="K74" i="9" s="1"/>
  <c r="C75" i="9" s="1"/>
  <c r="J38" i="1"/>
  <c r="K38" i="1" s="1"/>
  <c r="C39" i="1" s="1"/>
  <c r="D75" i="9" l="1"/>
  <c r="F75" i="9" s="1"/>
  <c r="G75" i="9" s="1"/>
  <c r="J75" i="9" s="1"/>
  <c r="K75" i="9" s="1"/>
  <c r="C76" i="9" s="1"/>
  <c r="D39" i="1"/>
  <c r="F39" i="1" s="1"/>
  <c r="G39" i="1" s="1"/>
  <c r="D76" i="9" l="1"/>
  <c r="F76" i="9" s="1"/>
  <c r="G76" i="9" s="1"/>
  <c r="J76" i="9" s="1"/>
  <c r="K76" i="9" s="1"/>
  <c r="C77" i="9" s="1"/>
  <c r="J39" i="1"/>
  <c r="K39" i="1" s="1"/>
  <c r="C40" i="1" s="1"/>
  <c r="D77" i="9" l="1"/>
  <c r="F77" i="9" s="1"/>
  <c r="G77" i="9" s="1"/>
  <c r="J77" i="9" s="1"/>
  <c r="K77" i="9" s="1"/>
  <c r="C78" i="9" s="1"/>
  <c r="D40" i="1"/>
  <c r="D78" i="9" l="1"/>
  <c r="F78" i="9" s="1"/>
  <c r="G78" i="9" s="1"/>
  <c r="J78" i="9" s="1"/>
  <c r="K78" i="9" s="1"/>
  <c r="C79" i="9" s="1"/>
  <c r="F40" i="1"/>
  <c r="G40" i="1" s="1"/>
  <c r="D79" i="9" l="1"/>
  <c r="F79" i="9" s="1"/>
  <c r="G79" i="9" s="1"/>
  <c r="J79" i="9" s="1"/>
  <c r="K79" i="9" s="1"/>
  <c r="C80" i="9" s="1"/>
  <c r="J40" i="1"/>
  <c r="D80" i="9" l="1"/>
  <c r="F80" i="9" s="1"/>
  <c r="G80" i="9" s="1"/>
  <c r="J80" i="9" s="1"/>
  <c r="K80" i="9" s="1"/>
  <c r="C81" i="9" s="1"/>
  <c r="K40" i="1"/>
  <c r="C41" i="1" s="1"/>
  <c r="D81" i="9" l="1"/>
  <c r="F81" i="9" s="1"/>
  <c r="G81" i="9" s="1"/>
  <c r="J81" i="9" s="1"/>
  <c r="K81" i="9" s="1"/>
  <c r="C82" i="9" s="1"/>
  <c r="D41" i="1"/>
  <c r="D82" i="9" l="1"/>
  <c r="F82" i="9" s="1"/>
  <c r="G82" i="9" s="1"/>
  <c r="J82" i="9" s="1"/>
  <c r="K82" i="9" s="1"/>
  <c r="C83" i="9" s="1"/>
  <c r="F41" i="1"/>
  <c r="G41" i="1" s="1"/>
  <c r="D83" i="9" l="1"/>
  <c r="F83" i="9" s="1"/>
  <c r="G83" i="9" s="1"/>
  <c r="J83" i="9" s="1"/>
  <c r="K83" i="9" s="1"/>
  <c r="C84" i="9" s="1"/>
  <c r="J41" i="1"/>
  <c r="D84" i="9" l="1"/>
  <c r="F84" i="9" s="1"/>
  <c r="G84" i="9" s="1"/>
  <c r="J84" i="9" s="1"/>
  <c r="K84" i="9" s="1"/>
  <c r="C85" i="9" s="1"/>
  <c r="K41" i="1"/>
  <c r="C42" i="1" s="1"/>
  <c r="D85" i="9" l="1"/>
  <c r="F85" i="9" s="1"/>
  <c r="G85" i="9" s="1"/>
  <c r="J85" i="9" s="1"/>
  <c r="K85" i="9" s="1"/>
  <c r="C86" i="9" s="1"/>
  <c r="D42" i="1"/>
  <c r="F42" i="1" s="1"/>
  <c r="G42" i="1" s="1"/>
  <c r="D86" i="9" l="1"/>
  <c r="F86" i="9" s="1"/>
  <c r="G86" i="9" s="1"/>
  <c r="J86" i="9" s="1"/>
  <c r="K86" i="9" s="1"/>
  <c r="C87" i="9" s="1"/>
  <c r="J42" i="1"/>
  <c r="K42" i="1" s="1"/>
  <c r="C43" i="1" s="1"/>
  <c r="D87" i="9" l="1"/>
  <c r="F87" i="9" s="1"/>
  <c r="G87" i="9" s="1"/>
  <c r="J87" i="9" s="1"/>
  <c r="K87" i="9" s="1"/>
  <c r="C88" i="9" s="1"/>
  <c r="D43" i="1"/>
  <c r="D88" i="9" l="1"/>
  <c r="F88" i="9" s="1"/>
  <c r="G88" i="9" s="1"/>
  <c r="J88" i="9" s="1"/>
  <c r="K88" i="9" s="1"/>
  <c r="C89" i="9" s="1"/>
  <c r="F43" i="1"/>
  <c r="G43" i="1" s="1"/>
  <c r="D89" i="9" l="1"/>
  <c r="F89" i="9" s="1"/>
  <c r="G89" i="9" s="1"/>
  <c r="J89" i="9" s="1"/>
  <c r="K89" i="9" s="1"/>
  <c r="C90" i="9" s="1"/>
  <c r="J43" i="1"/>
  <c r="K43" i="1" s="1"/>
  <c r="C44" i="1" s="1"/>
  <c r="D90" i="9" l="1"/>
  <c r="F90" i="9" s="1"/>
  <c r="G90" i="9" s="1"/>
  <c r="J90" i="9" s="1"/>
  <c r="K90" i="9" s="1"/>
  <c r="C91" i="9" s="1"/>
  <c r="D44" i="1"/>
  <c r="D91" i="9" l="1"/>
  <c r="F91" i="9" s="1"/>
  <c r="G91" i="9" s="1"/>
  <c r="J91" i="9" s="1"/>
  <c r="K91" i="9" s="1"/>
  <c r="C92" i="9" s="1"/>
  <c r="F44" i="1"/>
  <c r="G44" i="1" s="1"/>
  <c r="D92" i="9" l="1"/>
  <c r="F92" i="9" s="1"/>
  <c r="G92" i="9" s="1"/>
  <c r="J92" i="9" s="1"/>
  <c r="K92" i="9" s="1"/>
  <c r="C93" i="9" s="1"/>
  <c r="J44" i="1"/>
  <c r="K44" i="1" s="1"/>
  <c r="C45" i="1" s="1"/>
  <c r="D93" i="9" l="1"/>
  <c r="F93" i="9" s="1"/>
  <c r="G93" i="9" s="1"/>
  <c r="J93" i="9" s="1"/>
  <c r="K93" i="9" s="1"/>
  <c r="C94" i="9" s="1"/>
  <c r="D45" i="1"/>
  <c r="D94" i="9" l="1"/>
  <c r="F94" i="9" s="1"/>
  <c r="G94" i="9" s="1"/>
  <c r="J94" i="9" s="1"/>
  <c r="K94" i="9" s="1"/>
  <c r="C95" i="9" s="1"/>
  <c r="F45" i="1"/>
  <c r="G45" i="1" s="1"/>
  <c r="D95" i="9" l="1"/>
  <c r="F95" i="9" s="1"/>
  <c r="G95" i="9" s="1"/>
  <c r="J95" i="9" s="1"/>
  <c r="K95" i="9" s="1"/>
  <c r="C96" i="9" s="1"/>
  <c r="J45" i="1"/>
  <c r="D96" i="9" l="1"/>
  <c r="F96" i="9" s="1"/>
  <c r="G96" i="9" s="1"/>
  <c r="J96" i="9" s="1"/>
  <c r="K96" i="9" s="1"/>
  <c r="C97" i="9" s="1"/>
  <c r="K45" i="1"/>
  <c r="C46" i="1" s="1"/>
  <c r="D97" i="9" l="1"/>
  <c r="F97" i="9" s="1"/>
  <c r="G97" i="9" s="1"/>
  <c r="J97" i="9" s="1"/>
  <c r="K97" i="9" s="1"/>
  <c r="C98" i="9" s="1"/>
  <c r="D46" i="1"/>
  <c r="D98" i="9" l="1"/>
  <c r="F98" i="9" s="1"/>
  <c r="G98" i="9" s="1"/>
  <c r="J98" i="9" s="1"/>
  <c r="K98" i="9" s="1"/>
  <c r="C99" i="9" s="1"/>
  <c r="F46" i="1"/>
  <c r="G46" i="1" s="1"/>
  <c r="D99" i="9" l="1"/>
  <c r="F99" i="9" s="1"/>
  <c r="G99" i="9" s="1"/>
  <c r="J99" i="9" s="1"/>
  <c r="K99" i="9" s="1"/>
  <c r="C100" i="9" s="1"/>
  <c r="J46" i="1"/>
  <c r="K46" i="1" s="1"/>
  <c r="C47" i="1" s="1"/>
  <c r="D100" i="9" l="1"/>
  <c r="F100" i="9" s="1"/>
  <c r="G100" i="9" s="1"/>
  <c r="J100" i="9" s="1"/>
  <c r="K100" i="9" s="1"/>
  <c r="C101" i="9" s="1"/>
  <c r="D47" i="1"/>
  <c r="D101" i="9" l="1"/>
  <c r="F101" i="9" s="1"/>
  <c r="G101" i="9" s="1"/>
  <c r="J101" i="9" s="1"/>
  <c r="K101" i="9" s="1"/>
  <c r="C102" i="9" s="1"/>
  <c r="F47" i="1"/>
  <c r="G47" i="1" s="1"/>
  <c r="D102" i="9" l="1"/>
  <c r="F102" i="9" s="1"/>
  <c r="G102" i="9" s="1"/>
  <c r="J102" i="9" s="1"/>
  <c r="K102" i="9" s="1"/>
  <c r="C103" i="9" s="1"/>
  <c r="J47" i="1"/>
  <c r="K47" i="1" s="1"/>
  <c r="C48" i="1" s="1"/>
  <c r="D103" i="9" l="1"/>
  <c r="F103" i="9" s="1"/>
  <c r="G103" i="9" s="1"/>
  <c r="J103" i="9" s="1"/>
  <c r="K103" i="9" s="1"/>
  <c r="D48" i="1"/>
  <c r="F48" i="1" l="1"/>
  <c r="G48" i="1" s="1"/>
  <c r="J48" i="1" l="1"/>
  <c r="K48" i="1" s="1"/>
  <c r="C49" i="1" s="1"/>
  <c r="D49" i="1" l="1"/>
  <c r="F49" i="1" l="1"/>
  <c r="G49" i="1" s="1"/>
  <c r="J49" i="1" l="1"/>
  <c r="K49" i="1" s="1"/>
  <c r="C50" i="1" s="1"/>
  <c r="D50" i="1" l="1"/>
  <c r="F50" i="1" l="1"/>
  <c r="G50" i="1" s="1"/>
  <c r="J50" i="1" l="1"/>
  <c r="K50" i="1" s="1"/>
  <c r="C51" i="1" s="1"/>
  <c r="D51" i="1" l="1"/>
  <c r="F51" i="1" l="1"/>
  <c r="G51" i="1" s="1"/>
  <c r="J51" i="1" l="1"/>
  <c r="K51" i="1" s="1"/>
  <c r="C52" i="1" s="1"/>
  <c r="D52" i="1" s="1"/>
  <c r="F52" i="1" s="1"/>
  <c r="G52" i="1" s="1"/>
  <c r="J52" i="1" s="1"/>
  <c r="K52" i="1" s="1"/>
  <c r="C53" i="1" s="1"/>
  <c r="D53" i="1" s="1"/>
  <c r="F53" i="1" s="1"/>
  <c r="G53" i="1" s="1"/>
  <c r="J53" i="1" s="1"/>
  <c r="K53" i="1" s="1"/>
  <c r="C54" i="1" s="1"/>
  <c r="D54" i="1" s="1"/>
  <c r="F54" i="1" s="1"/>
  <c r="G54" i="1" s="1"/>
  <c r="J54" i="1" s="1"/>
  <c r="K54" i="1" s="1"/>
  <c r="C55" i="1" s="1"/>
  <c r="D55" i="1" s="1"/>
  <c r="F55" i="1" s="1"/>
  <c r="G55" i="1" s="1"/>
  <c r="J55" i="1" s="1"/>
  <c r="K55" i="1" s="1"/>
  <c r="C56" i="1" s="1"/>
  <c r="D56" i="1" s="1"/>
  <c r="F56" i="1" s="1"/>
  <c r="G56" i="1" s="1"/>
  <c r="J56" i="1" s="1"/>
  <c r="K56" i="1" s="1"/>
  <c r="C57" i="1" s="1"/>
  <c r="D57" i="1" s="1"/>
  <c r="F57" i="1" s="1"/>
  <c r="G57" i="1" s="1"/>
  <c r="J57" i="1" s="1"/>
  <c r="K57" i="1" s="1"/>
  <c r="C58" i="1" s="1"/>
  <c r="D58" i="1" s="1"/>
  <c r="F58" i="1" s="1"/>
  <c r="G58" i="1" s="1"/>
  <c r="J58" i="1" s="1"/>
  <c r="K58" i="1" s="1"/>
  <c r="C59" i="1" s="1"/>
  <c r="D59" i="1" s="1"/>
  <c r="F59" i="1" s="1"/>
  <c r="G59" i="1" s="1"/>
  <c r="J59" i="1" s="1"/>
  <c r="K59" i="1" s="1"/>
  <c r="C60" i="1" s="1"/>
  <c r="D60" i="1" s="1"/>
  <c r="F60" i="1" s="1"/>
  <c r="G60" i="1" s="1"/>
  <c r="J60" i="1" s="1"/>
  <c r="K60" i="1" s="1"/>
  <c r="C61" i="1" s="1"/>
  <c r="D61" i="1" s="1"/>
  <c r="F61" i="1" s="1"/>
  <c r="G61" i="1" s="1"/>
  <c r="J61" i="1" s="1"/>
  <c r="K61" i="1" s="1"/>
  <c r="C62" i="1" s="1"/>
  <c r="D62" i="1" s="1"/>
  <c r="F62" i="1" s="1"/>
  <c r="G62" i="1" s="1"/>
  <c r="J62" i="1" s="1"/>
  <c r="K62" i="1" s="1"/>
  <c r="C63" i="1" s="1"/>
  <c r="D63" i="1" s="1"/>
  <c r="F63" i="1" s="1"/>
  <c r="G63" i="1" s="1"/>
  <c r="J63" i="1" s="1"/>
  <c r="K63" i="1" s="1"/>
  <c r="C64" i="1" s="1"/>
  <c r="D64" i="1" s="1"/>
  <c r="F64" i="1" s="1"/>
  <c r="G64" i="1" s="1"/>
  <c r="J64" i="1" s="1"/>
  <c r="K64" i="1" s="1"/>
  <c r="C65" i="1" s="1"/>
  <c r="D65" i="1" s="1"/>
  <c r="F65" i="1" s="1"/>
  <c r="G65" i="1" s="1"/>
  <c r="J65" i="1" s="1"/>
  <c r="K65" i="1" s="1"/>
  <c r="C66" i="1" s="1"/>
  <c r="D66" i="1" s="1"/>
  <c r="F66" i="1" s="1"/>
  <c r="G66" i="1" s="1"/>
  <c r="J66" i="1" s="1"/>
  <c r="K66" i="1" s="1"/>
  <c r="C67" i="1" s="1"/>
  <c r="D67" i="1" s="1"/>
  <c r="F67" i="1" s="1"/>
  <c r="G67" i="1" s="1"/>
  <c r="J67" i="1" s="1"/>
  <c r="K67" i="1" s="1"/>
  <c r="C68" i="1" l="1"/>
  <c r="D68" i="1" s="1"/>
  <c r="F68" i="1" s="1"/>
  <c r="G68" i="1" s="1"/>
  <c r="J68" i="1" s="1"/>
  <c r="K68" i="1" s="1"/>
  <c r="C69" i="1" s="1"/>
  <c r="D69" i="1" s="1"/>
  <c r="F69" i="1" s="1"/>
  <c r="G69" i="1" s="1"/>
  <c r="J69" i="1" s="1"/>
  <c r="K69" i="1" s="1"/>
  <c r="C70" i="1" l="1"/>
  <c r="D70" i="1" s="1"/>
  <c r="F70" i="1" s="1"/>
  <c r="G70" i="1" s="1"/>
  <c r="J70" i="1" s="1"/>
  <c r="K70" i="1" s="1"/>
  <c r="C71" i="1" s="1"/>
  <c r="D71" i="1" s="1"/>
  <c r="F71" i="1" s="1"/>
  <c r="G71" i="1" s="1"/>
  <c r="J71" i="1" s="1"/>
  <c r="K71" i="1" s="1"/>
  <c r="C72" i="1" s="1"/>
  <c r="D72" i="1" s="1"/>
  <c r="F72" i="1" s="1"/>
  <c r="G72" i="1" s="1"/>
  <c r="J72" i="1" s="1"/>
  <c r="K72" i="1" s="1"/>
  <c r="C73" i="1" s="1"/>
  <c r="D73" i="1" s="1"/>
  <c r="F73" i="1" s="1"/>
  <c r="G73" i="1" s="1"/>
  <c r="J73" i="1" s="1"/>
  <c r="K73" i="1" s="1"/>
  <c r="C74" i="1" s="1"/>
  <c r="D74" i="1" s="1"/>
  <c r="F74" i="1" s="1"/>
  <c r="G74" i="1" s="1"/>
  <c r="J74" i="1" s="1"/>
  <c r="K74" i="1" s="1"/>
  <c r="C75" i="1" s="1"/>
  <c r="D75" i="1" s="1"/>
  <c r="F75" i="1" s="1"/>
  <c r="G75" i="1" s="1"/>
  <c r="J75" i="1" s="1"/>
  <c r="K75" i="1" s="1"/>
  <c r="C76" i="1" s="1"/>
  <c r="D76" i="1" s="1"/>
  <c r="F76" i="1" s="1"/>
  <c r="G76" i="1" s="1"/>
  <c r="J76" i="1" s="1"/>
  <c r="K76" i="1" s="1"/>
  <c r="C77" i="1" s="1"/>
  <c r="D77" i="1" s="1"/>
  <c r="F77" i="1" s="1"/>
  <c r="G77" i="1" s="1"/>
  <c r="J77" i="1" s="1"/>
  <c r="K77" i="1" s="1"/>
  <c r="C78" i="1" s="1"/>
  <c r="D78" i="1" s="1"/>
  <c r="F78" i="1" s="1"/>
  <c r="G78" i="1" s="1"/>
  <c r="J78" i="1" s="1"/>
  <c r="K78" i="1" s="1"/>
  <c r="C79" i="1" s="1"/>
  <c r="D79" i="1" s="1"/>
  <c r="F79" i="1" s="1"/>
  <c r="G79" i="1" s="1"/>
  <c r="J79" i="1" s="1"/>
  <c r="K79" i="1" s="1"/>
  <c r="C80" i="1" s="1"/>
  <c r="D80" i="1" s="1"/>
  <c r="F80" i="1" s="1"/>
  <c r="G80" i="1" s="1"/>
  <c r="J80" i="1" s="1"/>
  <c r="K80" i="1" s="1"/>
  <c r="C81" i="1" s="1"/>
  <c r="D81" i="1" s="1"/>
  <c r="F81" i="1" s="1"/>
  <c r="G81" i="1" s="1"/>
  <c r="J81" i="1" s="1"/>
  <c r="K81" i="1" s="1"/>
  <c r="C82" i="1" s="1"/>
  <c r="D82" i="1" s="1"/>
  <c r="F82" i="1" s="1"/>
  <c r="G82" i="1" s="1"/>
  <c r="J82" i="1" s="1"/>
  <c r="K82" i="1" s="1"/>
  <c r="C83" i="1" s="1"/>
  <c r="D83" i="1" s="1"/>
  <c r="F83" i="1" s="1"/>
  <c r="G83" i="1" s="1"/>
  <c r="J83" i="1" s="1"/>
  <c r="K83" i="1" s="1"/>
  <c r="C84" i="1" s="1"/>
  <c r="D84" i="1" s="1"/>
  <c r="F84" i="1" s="1"/>
  <c r="G84" i="1" s="1"/>
  <c r="J84" i="1" s="1"/>
  <c r="K84" i="1" s="1"/>
  <c r="C85" i="1" s="1"/>
  <c r="D85" i="1" s="1"/>
  <c r="F85" i="1" s="1"/>
  <c r="G85" i="1" s="1"/>
  <c r="J85" i="1" s="1"/>
  <c r="K85" i="1" s="1"/>
  <c r="C86" i="1" s="1"/>
  <c r="D86" i="1" s="1"/>
  <c r="F86" i="1" s="1"/>
  <c r="G86" i="1" s="1"/>
  <c r="J86" i="1" s="1"/>
  <c r="K86" i="1" s="1"/>
  <c r="C87" i="1" s="1"/>
  <c r="D87" i="1" s="1"/>
  <c r="F87" i="1" s="1"/>
  <c r="G87" i="1" s="1"/>
  <c r="J87" i="1" s="1"/>
  <c r="K87" i="1" s="1"/>
  <c r="C88" i="1" s="1"/>
  <c r="D88" i="1" s="1"/>
  <c r="F88" i="1" s="1"/>
  <c r="G88" i="1" s="1"/>
  <c r="J88" i="1" s="1"/>
  <c r="K88" i="1" s="1"/>
  <c r="C89" i="1" s="1"/>
  <c r="D89" i="1" s="1"/>
  <c r="F89" i="1" s="1"/>
  <c r="G89" i="1" s="1"/>
  <c r="J89" i="1" s="1"/>
  <c r="K89" i="1" s="1"/>
  <c r="C90" i="1" s="1"/>
  <c r="D90" i="1" s="1"/>
  <c r="F90" i="1" s="1"/>
  <c r="G90" i="1" s="1"/>
  <c r="J90" i="1" s="1"/>
  <c r="K90" i="1" s="1"/>
  <c r="C91" i="1" s="1"/>
  <c r="D91" i="1" s="1"/>
  <c r="F91" i="1" s="1"/>
  <c r="G91" i="1" s="1"/>
  <c r="J91" i="1" s="1"/>
  <c r="K91" i="1" s="1"/>
  <c r="C92" i="1" s="1"/>
  <c r="D92" i="1" s="1"/>
  <c r="F92" i="1" s="1"/>
  <c r="G92" i="1" s="1"/>
  <c r="J92" i="1" s="1"/>
  <c r="K92" i="1" s="1"/>
  <c r="C93" i="1" s="1"/>
  <c r="D93" i="1" s="1"/>
  <c r="F93" i="1" s="1"/>
  <c r="G93" i="1" s="1"/>
  <c r="J93" i="1" s="1"/>
  <c r="K93" i="1" s="1"/>
  <c r="C94" i="1" s="1"/>
  <c r="D94" i="1" s="1"/>
  <c r="F94" i="1" s="1"/>
  <c r="G94" i="1" s="1"/>
  <c r="J94" i="1" s="1"/>
  <c r="K94" i="1" s="1"/>
  <c r="C95" i="1" s="1"/>
  <c r="D95" i="1" s="1"/>
  <c r="F95" i="1" s="1"/>
  <c r="G95" i="1" s="1"/>
  <c r="J95" i="1" s="1"/>
  <c r="K95" i="1" s="1"/>
  <c r="C96" i="1" s="1"/>
  <c r="D96" i="1" s="1"/>
  <c r="F96" i="1" s="1"/>
  <c r="G96" i="1" s="1"/>
  <c r="J96" i="1" s="1"/>
  <c r="K96" i="1" s="1"/>
  <c r="C97" i="1" s="1"/>
  <c r="D97" i="1" s="1"/>
  <c r="F97" i="1" s="1"/>
  <c r="G97" i="1" s="1"/>
  <c r="J97" i="1" s="1"/>
  <c r="K97" i="1" s="1"/>
  <c r="C98" i="1" s="1"/>
  <c r="D98" i="1" s="1"/>
  <c r="F98" i="1" s="1"/>
  <c r="G98" i="1" s="1"/>
  <c r="J98" i="1" s="1"/>
  <c r="K98" i="1" s="1"/>
  <c r="C99" i="1" s="1"/>
  <c r="D99" i="1" s="1"/>
  <c r="F99" i="1" s="1"/>
  <c r="G99" i="1" s="1"/>
  <c r="J99" i="1" s="1"/>
  <c r="K99" i="1" s="1"/>
  <c r="C100" i="1" s="1"/>
  <c r="D100" i="1" s="1"/>
  <c r="F100" i="1" s="1"/>
  <c r="G100" i="1" s="1"/>
  <c r="J100" i="1" s="1"/>
  <c r="K100" i="1" s="1"/>
  <c r="C101" i="1" s="1"/>
  <c r="D101" i="1" s="1"/>
  <c r="F101" i="1" s="1"/>
  <c r="G101" i="1" s="1"/>
  <c r="J101" i="1" s="1"/>
  <c r="K101" i="1" s="1"/>
  <c r="C102" i="1" s="1"/>
  <c r="D102" i="1" s="1"/>
  <c r="F102" i="1" s="1"/>
  <c r="G102" i="1" s="1"/>
  <c r="J102" i="1" s="1"/>
  <c r="K10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Bresse</author>
  </authors>
  <commentList>
    <comment ref="B6" authorId="0" shapeId="0" xr:uid="{DEA111E2-2348-41CA-8173-8C0F0DF39574}">
      <text>
        <r>
          <rPr>
            <sz val="8"/>
            <color indexed="81"/>
            <rFont val="Tahoma"/>
            <family val="2"/>
          </rPr>
          <t>Os dados de área não são usados, por isso podem ser omitidos.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 Gomes Soares</author>
  </authors>
  <commentList>
    <comment ref="B6" authorId="0" shapeId="0" xr:uid="{2DEA285D-49C7-4C2D-A9CF-55A18D48F6ED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Demandas médias mensais estimadas.</t>
        </r>
      </text>
    </comment>
    <comment ref="D6" authorId="0" shapeId="0" xr:uid="{AC177C81-E955-4629-9A9D-4694D492FAEC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Lâmina evaporada média mensal do reservatório.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 Gomes Soares</author>
  </authors>
  <commentList>
    <comment ref="B6" authorId="0" shapeId="0" xr:uid="{CF1E194D-503C-43CA-9244-D30E32965448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A vazão afluente é definida como sendo a vazão que chega a um determinado ponto, em particular um aproveitamento hidrelétrico, e é determinante na avaliação da energia disponível. A vazão afluente depende das condições hidrológicas naturais da bacia hidrográfica e dos aproveitamentos existentes a montante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 Gomes Soares</author>
  </authors>
  <commentList>
    <comment ref="D8" authorId="0" shapeId="0" xr:uid="{E1EBE44E-3D66-48F6-BAB9-DCDA37A1DD7B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Em geral usa-se 50% da Capacidade Util de armazenamento</t>
        </r>
      </text>
    </comment>
    <comment ref="D10" authorId="0" shapeId="0" xr:uid="{A2DD3903-E14B-4A4C-9635-E36CE5CABC98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Em geral usa-se 8% da Capacidade Total de armazenamento</t>
        </r>
      </text>
    </comment>
    <comment ref="D11" authorId="0" shapeId="0" xr:uid="{74C3DDAB-A790-4801-9698-04E889ABFCAC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Diferença entre a Capacidade total de armazenamento - Volume de porão</t>
        </r>
      </text>
    </comment>
    <comment ref="D15" authorId="0" shapeId="0" xr:uid="{FAD6B353-948E-496B-9156-98EB410DE4F2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Obtida através da equação do gráfico em  DADOS COTA-AREA-VOLUME
Em que (x) é o volume obtido na coluna esquerda em "Volume (em m3)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 Gomes Soares</author>
  </authors>
  <commentList>
    <comment ref="D9" authorId="0" shapeId="0" xr:uid="{E5C0AF24-3A6A-4936-8D36-B0400CA8EC43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Em geral usa-se 50% da Capacidade Util de armazenamento</t>
        </r>
      </text>
    </comment>
    <comment ref="D11" authorId="0" shapeId="0" xr:uid="{D9EBD38B-07D3-4E20-9ED1-372F62F2163C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Em geral usa-se 8% da Capacidade Total de armazenamento</t>
        </r>
      </text>
    </comment>
    <comment ref="D12" authorId="0" shapeId="0" xr:uid="{77250F65-EF42-4642-AAF4-EFEF79E6FD0B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Diferença entre a Capacidade total de armazenamento - Volume de porão</t>
        </r>
      </text>
    </comment>
    <comment ref="D16" authorId="0" shapeId="0" xr:uid="{3FA6746F-B407-468B-B84F-CF55CA1587D1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Obtida através da equação do gráfico em  DADOS COTA-AREA-VOLUME
Em que (x) é o volume obtido na coluna esquerda em "Volume (em m3)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 Gomes Soares</author>
  </authors>
  <commentList>
    <comment ref="D4" authorId="0" shapeId="0" xr:uid="{46941EC7-EC7D-4B4D-BA88-4AB86B44F6A5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Em geral usa-se 50% da Capacidade Util de armazenamento</t>
        </r>
      </text>
    </comment>
    <comment ref="D6" authorId="0" shapeId="0" xr:uid="{504AD891-2360-4226-B36D-E66205E61518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Em geral usa-se 8% da Capacidade Total de armazenamento</t>
        </r>
      </text>
    </comment>
    <comment ref="D7" authorId="0" shapeId="0" xr:uid="{B9CF3542-7F4B-476D-840E-323F43000750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Diferença entre a Capacidade total de armazenamento - Volume de porão</t>
        </r>
      </text>
    </comment>
    <comment ref="D11" authorId="0" shapeId="0" xr:uid="{24809662-E12C-4DAB-A6ED-643E13ABA691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Obtida através da equação do gráfico em  DADOS COTA-AREA-VOLUME
Em que (x) é o volume obtido na coluna esquerda em "Volume (em m3)
</t>
        </r>
      </text>
    </comment>
  </commentList>
</comments>
</file>

<file path=xl/sharedStrings.xml><?xml version="1.0" encoding="utf-8"?>
<sst xmlns="http://schemas.openxmlformats.org/spreadsheetml/2006/main" count="100" uniqueCount="50">
  <si>
    <t>HIDROLOGIA</t>
  </si>
  <si>
    <t>BALANÇO DE RESERVATÓRIO</t>
  </si>
  <si>
    <t>PROGRAMA DE MONITORIA DO DECA 2022.2 - MONITOR EMANUEL GOMES SOARES</t>
  </si>
  <si>
    <t>Cota (m)</t>
  </si>
  <si>
    <r>
      <t>Área (m</t>
    </r>
    <r>
      <rPr>
        <b/>
        <vertAlign val="super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)</t>
    </r>
  </si>
  <si>
    <r>
      <t>Volume (m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</si>
  <si>
    <t>Mês</t>
  </si>
  <si>
    <r>
      <t>Q</t>
    </r>
    <r>
      <rPr>
        <vertAlign val="subscript"/>
        <sz val="11"/>
        <color theme="1"/>
        <rFont val="Calibri"/>
        <family val="2"/>
        <scheme val="minor"/>
      </rPr>
      <t>dem</t>
    </r>
    <r>
      <rPr>
        <sz val="11"/>
        <color theme="1"/>
        <rFont val="Calibri"/>
        <family val="2"/>
        <scheme val="minor"/>
      </rPr>
      <t xml:space="preserve">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</si>
  <si>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t>Evp (mm)</t>
  </si>
  <si>
    <t>Evp (m)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</si>
  <si>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</si>
  <si>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</si>
  <si>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</si>
  <si>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</si>
  <si>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</si>
  <si>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</si>
  <si>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</si>
  <si>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</si>
  <si>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</si>
  <si>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</si>
  <si>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</si>
  <si>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</si>
  <si>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c) Vazões afluentes</t>
  </si>
  <si>
    <r>
      <t>Vazão Afluente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</si>
  <si>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t>c) Precipitação</t>
  </si>
  <si>
    <t>Precipitação (em mm)</t>
  </si>
  <si>
    <t>com equação linear</t>
  </si>
  <si>
    <r>
      <t>Volume inicial (m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</si>
  <si>
    <t>AESA 28/02/2017</t>
  </si>
  <si>
    <t>Capacidade total de armazenamento</t>
  </si>
  <si>
    <t>AESA</t>
  </si>
  <si>
    <t>volume de porão</t>
  </si>
  <si>
    <t>Capacidade útil de armazenamento</t>
  </si>
  <si>
    <t>EVAPOTRANSPIRAÇÃO</t>
  </si>
  <si>
    <t>DEMANDA</t>
  </si>
  <si>
    <t>Número de dias do mês</t>
  </si>
  <si>
    <r>
      <t>Volume (em 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</si>
  <si>
    <t>Evaporação</t>
  </si>
  <si>
    <r>
      <t>Volume referente a E (m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</si>
  <si>
    <r>
      <t>Afluxo Líquido (m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</si>
  <si>
    <r>
      <t>Demandas (m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/s)</t>
    </r>
  </si>
  <si>
    <r>
      <t>Volumes das demandas (m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</si>
  <si>
    <t>Volumes acumulados</t>
  </si>
  <si>
    <t>Volume final do mês</t>
  </si>
  <si>
    <t>VOLUME MÍNIMO</t>
  </si>
  <si>
    <t>volume zerou pois deu negativo!</t>
  </si>
  <si>
    <t>NEGATIVO, SECOU COMPLETAMENTE</t>
  </si>
  <si>
    <t>AESA 31/01/2016</t>
  </si>
  <si>
    <t>com equação polinomial grau 2</t>
  </si>
  <si>
    <r>
      <t>Volume referente a 8 (m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</si>
</sst>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9"/>
      <color indexed="81"/>
      <name val="Segoe UI"/>
      <family val="2"/>
    </font>
    <font>
      <b/>
      <vertAlign val="superscript"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12"/>
      <color indexed="81"/>
      <name val="Segoe UI"/>
      <family val="2"/>
    </font>
    <font>
      <b/>
      <sz val="11"/>
      <color rgb="FF20A924"/>
      <name val="Arial"/>
      <family val="2"/>
    </font>
    <font>
      <vertAlign val="superscript"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36"/>
      <color rgb="FF4472C4"/>
      <name val="Arial"/>
      <family val="2"/>
    </font>
    <font>
      <b/>
      <sz val="15"/>
      <color theme="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3652A0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25" applyNumberFormat="0" applyFill="0" applyAlignment="0" applyProtection="0"/>
    <xf numFmtId="0" fontId="1" fillId="12" borderId="0" applyNumberFormat="0" applyFont="0" applyBorder="0" applyAlignment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2" borderId="1" xfId="0" applyNumberFormat="1" applyFill="1" applyBorder="1"/>
    <xf numFmtId="0" fontId="0" fillId="2" borderId="2" xfId="0" applyFill="1" applyBorder="1"/>
    <xf numFmtId="3" fontId="0" fillId="2" borderId="3" xfId="0" applyNumberFormat="1" applyFill="1" applyBorder="1"/>
    <xf numFmtId="0" fontId="0" fillId="2" borderId="7" xfId="0" applyFill="1" applyBorder="1"/>
    <xf numFmtId="3" fontId="0" fillId="2" borderId="8" xfId="0" applyNumberFormat="1" applyFill="1" applyBorder="1"/>
    <xf numFmtId="3" fontId="0" fillId="2" borderId="9" xfId="0" applyNumberFormat="1" applyFill="1" applyBorder="1"/>
    <xf numFmtId="4" fontId="2" fillId="3" borderId="4" xfId="0" applyNumberFormat="1" applyFont="1" applyFill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0" fontId="7" fillId="0" borderId="0" xfId="0" applyFont="1"/>
    <xf numFmtId="17" fontId="0" fillId="0" borderId="0" xfId="0" applyNumberFormat="1"/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3" fontId="13" fillId="7" borderId="16" xfId="0" applyNumberFormat="1" applyFont="1" applyFill="1" applyBorder="1" applyAlignment="1">
      <alignment horizontal="center" vertical="center" wrapText="1"/>
    </xf>
    <xf numFmtId="17" fontId="0" fillId="6" borderId="13" xfId="0" applyNumberFormat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43" fontId="0" fillId="6" borderId="14" xfId="1" applyFont="1" applyFill="1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43" fontId="0" fillId="6" borderId="15" xfId="1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43" fontId="0" fillId="8" borderId="14" xfId="1" applyFont="1" applyFill="1" applyBorder="1" applyAlignment="1">
      <alignment horizontal="center" vertical="center"/>
    </xf>
    <xf numFmtId="0" fontId="0" fillId="9" borderId="0" xfId="0" applyFill="1"/>
    <xf numFmtId="43" fontId="0" fillId="0" borderId="0" xfId="0" applyNumberFormat="1"/>
    <xf numFmtId="17" fontId="0" fillId="9" borderId="14" xfId="0" applyNumberForma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/>
    </xf>
    <xf numFmtId="43" fontId="0" fillId="9" borderId="14" xfId="1" applyFont="1" applyFill="1" applyBorder="1" applyAlignment="1">
      <alignment horizontal="center" vertical="center"/>
    </xf>
    <xf numFmtId="43" fontId="17" fillId="6" borderId="14" xfId="1" applyFont="1" applyFill="1" applyBorder="1" applyAlignment="1">
      <alignment horizontal="center" vertical="center"/>
    </xf>
    <xf numFmtId="43" fontId="17" fillId="0" borderId="14" xfId="1" applyFont="1" applyBorder="1" applyAlignment="1">
      <alignment horizontal="center" vertical="center"/>
    </xf>
    <xf numFmtId="43" fontId="17" fillId="9" borderId="14" xfId="1" applyFont="1" applyFill="1" applyBorder="1" applyAlignment="1">
      <alignment horizontal="center" vertical="center"/>
    </xf>
    <xf numFmtId="17" fontId="0" fillId="10" borderId="14" xfId="0" applyNumberForma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43" fontId="0" fillId="10" borderId="0" xfId="1" applyFont="1" applyFill="1"/>
    <xf numFmtId="43" fontId="17" fillId="10" borderId="14" xfId="1" applyFont="1" applyFill="1" applyBorder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43" fontId="0" fillId="10" borderId="14" xfId="1" applyFont="1" applyFill="1" applyBorder="1" applyAlignment="1">
      <alignment horizontal="center" vertical="center"/>
    </xf>
    <xf numFmtId="0" fontId="1" fillId="13" borderId="0" xfId="4" applyFill="1"/>
    <xf numFmtId="0" fontId="18" fillId="4" borderId="0" xfId="2" applyFill="1" applyAlignment="1">
      <alignment vertical="center"/>
    </xf>
    <xf numFmtId="0" fontId="19" fillId="4" borderId="25" xfId="3" applyFill="1" applyAlignment="1">
      <alignment vertical="top"/>
    </xf>
    <xf numFmtId="0" fontId="21" fillId="4" borderId="25" xfId="3" applyFont="1" applyFill="1" applyAlignment="1">
      <alignment vertical="center"/>
    </xf>
    <xf numFmtId="0" fontId="20" fillId="4" borderId="0" xfId="2" applyFont="1" applyFill="1" applyAlignment="1">
      <alignment horizontal="center" vertical="center"/>
    </xf>
    <xf numFmtId="0" fontId="21" fillId="4" borderId="25" xfId="3" applyFont="1" applyFill="1" applyAlignment="1">
      <alignment horizontal="center" vertical="center"/>
    </xf>
    <xf numFmtId="0" fontId="19" fillId="4" borderId="26" xfId="3" applyFill="1" applyBorder="1" applyAlignment="1">
      <alignment horizontal="center" vertical="top"/>
    </xf>
    <xf numFmtId="0" fontId="10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9" borderId="17" xfId="0" applyFon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9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wrapText="1"/>
    </xf>
    <xf numFmtId="0" fontId="15" fillId="9" borderId="18" xfId="0" applyFont="1" applyFill="1" applyBorder="1" applyAlignment="1">
      <alignment horizontal="center" vertical="center"/>
    </xf>
    <xf numFmtId="0" fontId="15" fillId="9" borderId="19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/>
    </xf>
  </cellXfs>
  <cellStyles count="5">
    <cellStyle name="Normal" xfId="0" builtinId="0"/>
    <cellStyle name="Preenchimento de linha de cabeçalho" xfId="4" xr:uid="{267161D5-872D-48A9-B94E-7D95DB1DF6EF}"/>
    <cellStyle name="Título" xfId="2" builtinId="15"/>
    <cellStyle name="Título 1" xfId="3" builtinId="16"/>
    <cellStyle name="Vírgula" xfId="1" builtinId="3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22" formatCode="mmm/yy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/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9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7490463692038495"/>
                  <c:y val="6.43981481481481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9866622922134733"/>
                  <c:y val="3.19907407407407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033289588801402"/>
                  <c:y val="2.27314814814814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'Dados COTA-ÁREA-VOLUME'!$C$7:$C$22</c:f>
              <c:numCache>
                <c:formatCode>#,##0</c:formatCode>
                <c:ptCount val="16"/>
                <c:pt idx="0">
                  <c:v>0</c:v>
                </c:pt>
                <c:pt idx="1">
                  <c:v>4000</c:v>
                </c:pt>
                <c:pt idx="2">
                  <c:v>16994</c:v>
                </c:pt>
                <c:pt idx="3">
                  <c:v>70593</c:v>
                </c:pt>
                <c:pt idx="4">
                  <c:v>174286</c:v>
                </c:pt>
                <c:pt idx="5">
                  <c:v>366771</c:v>
                </c:pt>
                <c:pt idx="6">
                  <c:v>707956</c:v>
                </c:pt>
                <c:pt idx="7">
                  <c:v>1230617</c:v>
                </c:pt>
                <c:pt idx="8">
                  <c:v>1981542</c:v>
                </c:pt>
                <c:pt idx="9">
                  <c:v>2990176</c:v>
                </c:pt>
                <c:pt idx="10">
                  <c:v>4314820</c:v>
                </c:pt>
                <c:pt idx="11">
                  <c:v>5996469</c:v>
                </c:pt>
                <c:pt idx="12">
                  <c:v>8058687</c:v>
                </c:pt>
                <c:pt idx="13">
                  <c:v>10529191</c:v>
                </c:pt>
                <c:pt idx="14">
                  <c:v>13477904</c:v>
                </c:pt>
                <c:pt idx="15">
                  <c:v>17006273</c:v>
                </c:pt>
              </c:numCache>
            </c:numRef>
          </c:xVal>
          <c:yVal>
            <c:numRef>
              <c:f>'Dados COTA-ÁREA-VOLUME'!$B$7:$B$22</c:f>
              <c:numCache>
                <c:formatCode>#,##0</c:formatCode>
                <c:ptCount val="16"/>
                <c:pt idx="0">
                  <c:v>0</c:v>
                </c:pt>
                <c:pt idx="1">
                  <c:v>200</c:v>
                </c:pt>
                <c:pt idx="2">
                  <c:v>37223</c:v>
                </c:pt>
                <c:pt idx="3">
                  <c:v>70593</c:v>
                </c:pt>
                <c:pt idx="4">
                  <c:v>142867</c:v>
                </c:pt>
                <c:pt idx="5">
                  <c:v>257180</c:v>
                </c:pt>
                <c:pt idx="6">
                  <c:v>421869</c:v>
                </c:pt>
                <c:pt idx="7">
                  <c:v>631536</c:v>
                </c:pt>
                <c:pt idx="8">
                  <c:v>873903</c:v>
                </c:pt>
                <c:pt idx="9">
                  <c:v>1158564</c:v>
                </c:pt>
                <c:pt idx="10">
                  <c:v>1506467</c:v>
                </c:pt>
                <c:pt idx="11">
                  <c:v>1866251</c:v>
                </c:pt>
                <c:pt idx="12">
                  <c:v>2261179</c:v>
                </c:pt>
                <c:pt idx="13">
                  <c:v>2697741</c:v>
                </c:pt>
                <c:pt idx="14">
                  <c:v>3217443</c:v>
                </c:pt>
                <c:pt idx="15">
                  <c:v>3859121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F-4A14-8CE5-81BE02A2C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682160"/>
        <c:axId val="2133699408"/>
      </c:scatterChart>
      <c:valAx>
        <c:axId val="214268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3699408"/>
        <c:crosses val="autoZero"/>
        <c:crossBetween val="midCat"/>
      </c:valAx>
      <c:valAx>
        <c:axId val="213369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4268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Volume x Área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7490463692038495"/>
                  <c:y val="6.43981481481481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9866622922134733"/>
                  <c:y val="3.19907407407407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4033289588801402"/>
                  <c:y val="2.27314814814814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234667541557306"/>
                  <c:y val="5.877077865266841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'Dados COTA-ÁREA-VOLUME'!$C$7:$C$22</c:f>
              <c:numCache>
                <c:formatCode>#,##0</c:formatCode>
                <c:ptCount val="16"/>
                <c:pt idx="0">
                  <c:v>0</c:v>
                </c:pt>
                <c:pt idx="1">
                  <c:v>4000</c:v>
                </c:pt>
                <c:pt idx="2">
                  <c:v>16994</c:v>
                </c:pt>
                <c:pt idx="3">
                  <c:v>70593</c:v>
                </c:pt>
                <c:pt idx="4">
                  <c:v>174286</c:v>
                </c:pt>
                <c:pt idx="5">
                  <c:v>366771</c:v>
                </c:pt>
                <c:pt idx="6">
                  <c:v>707956</c:v>
                </c:pt>
                <c:pt idx="7">
                  <c:v>1230617</c:v>
                </c:pt>
                <c:pt idx="8">
                  <c:v>1981542</c:v>
                </c:pt>
                <c:pt idx="9">
                  <c:v>2990176</c:v>
                </c:pt>
                <c:pt idx="10">
                  <c:v>4314820</c:v>
                </c:pt>
                <c:pt idx="11">
                  <c:v>5996469</c:v>
                </c:pt>
                <c:pt idx="12">
                  <c:v>8058687</c:v>
                </c:pt>
                <c:pt idx="13">
                  <c:v>10529191</c:v>
                </c:pt>
                <c:pt idx="14">
                  <c:v>13477904</c:v>
                </c:pt>
                <c:pt idx="15">
                  <c:v>17006273</c:v>
                </c:pt>
              </c:numCache>
            </c:numRef>
          </c:xVal>
          <c:yVal>
            <c:numRef>
              <c:f>'Dados COTA-ÁREA-VOLUME'!$B$7:$B$22</c:f>
              <c:numCache>
                <c:formatCode>#,##0</c:formatCode>
                <c:ptCount val="16"/>
                <c:pt idx="0">
                  <c:v>0</c:v>
                </c:pt>
                <c:pt idx="1">
                  <c:v>200</c:v>
                </c:pt>
                <c:pt idx="2">
                  <c:v>37223</c:v>
                </c:pt>
                <c:pt idx="3">
                  <c:v>70593</c:v>
                </c:pt>
                <c:pt idx="4">
                  <c:v>142867</c:v>
                </c:pt>
                <c:pt idx="5">
                  <c:v>257180</c:v>
                </c:pt>
                <c:pt idx="6">
                  <c:v>421869</c:v>
                </c:pt>
                <c:pt idx="7">
                  <c:v>631536</c:v>
                </c:pt>
                <c:pt idx="8">
                  <c:v>873903</c:v>
                </c:pt>
                <c:pt idx="9">
                  <c:v>1158564</c:v>
                </c:pt>
                <c:pt idx="10">
                  <c:v>1506467</c:v>
                </c:pt>
                <c:pt idx="11">
                  <c:v>1866251</c:v>
                </c:pt>
                <c:pt idx="12">
                  <c:v>2261179</c:v>
                </c:pt>
                <c:pt idx="13">
                  <c:v>2697741</c:v>
                </c:pt>
                <c:pt idx="14">
                  <c:v>3217443</c:v>
                </c:pt>
                <c:pt idx="15">
                  <c:v>3859121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F3-4EC7-8C62-0E94FC7C1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682160"/>
        <c:axId val="2133699408"/>
      </c:scatterChart>
      <c:valAx>
        <c:axId val="214268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3699408"/>
        <c:crosses val="autoZero"/>
        <c:crossBetween val="midCat"/>
      </c:valAx>
      <c:valAx>
        <c:axId val="213369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4268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404811</xdr:colOff>
      <xdr:row>8</xdr:row>
      <xdr:rowOff>109537</xdr:rowOff>
    </xdr:from>
    <xdr:to>
      <xdr:col>11</xdr:col>
      <xdr:colOff>552450</xdr:colOff>
      <xdr:row>26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A80680-8951-43EE-BBDB-59EDB7AA0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12</xdr:row>
      <xdr:rowOff>28575</xdr:rowOff>
    </xdr:from>
    <xdr:to>
      <xdr:col>17</xdr:col>
      <xdr:colOff>209550</xdr:colOff>
      <xdr:row>17</xdr:row>
      <xdr:rowOff>66674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0C90C8F-C846-4E9C-BC82-94DF80BAE987}"/>
            </a:ext>
          </a:extLst>
        </xdr:cNvPr>
        <xdr:cNvSpPr txBox="1"/>
      </xdr:nvSpPr>
      <xdr:spPr>
        <a:xfrm>
          <a:off x="7934325" y="1771650"/>
          <a:ext cx="3257550" cy="99059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 i="1">
              <a:solidFill>
                <a:srgbClr val="FF0000"/>
              </a:solidFill>
            </a:rPr>
            <a:t>1º Passo traçar a curva</a:t>
          </a:r>
          <a:r>
            <a:rPr lang="pt-BR" sz="1600" b="1" i="1" baseline="0">
              <a:solidFill>
                <a:srgbClr val="FF0000"/>
              </a:solidFill>
            </a:rPr>
            <a:t> - </a:t>
          </a:r>
          <a:r>
            <a:rPr lang="pt-BR" sz="1600" b="1" i="1">
              <a:solidFill>
                <a:srgbClr val="FF0000"/>
              </a:solidFill>
            </a:rPr>
            <a:t>Através da curva Cota-Área-Vol para obter a equação e o melhor ajuste</a:t>
          </a:r>
        </a:p>
        <a:p>
          <a:endParaRPr lang="pt-BR" sz="16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19050</xdr:colOff>
      <xdr:row>25</xdr:row>
      <xdr:rowOff>104775</xdr:rowOff>
    </xdr:from>
    <xdr:to>
      <xdr:col>26</xdr:col>
      <xdr:colOff>323850</xdr:colOff>
      <xdr:row>39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4704236-7960-49C9-9988-5D622C6B2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7</xdr:row>
      <xdr:rowOff>28575</xdr:rowOff>
    </xdr:from>
    <xdr:to>
      <xdr:col>11</xdr:col>
      <xdr:colOff>57150</xdr:colOff>
      <xdr:row>14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914D1BD-9B52-4A29-BDDA-00F425A7891B}"/>
            </a:ext>
          </a:extLst>
        </xdr:cNvPr>
        <xdr:cNvSpPr txBox="1"/>
      </xdr:nvSpPr>
      <xdr:spPr>
        <a:xfrm>
          <a:off x="3200400" y="1524000"/>
          <a:ext cx="3857625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rgbClr val="FF0000"/>
              </a:solidFill>
            </a:rPr>
            <a:t>2º Passo</a:t>
          </a:r>
        </a:p>
        <a:p>
          <a:endParaRPr lang="pt-BR" sz="1600"/>
        </a:p>
        <a:p>
          <a:r>
            <a:rPr lang="pt-BR" sz="1600"/>
            <a:t>Inserir as informações de Vazão</a:t>
          </a:r>
          <a:r>
            <a:rPr lang="pt-BR" sz="1600" baseline="0"/>
            <a:t> demandada (Qdem) e a Evaporação média mensal.</a:t>
          </a:r>
          <a:endParaRPr lang="pt-BR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10</xdr:row>
      <xdr:rowOff>142875</xdr:rowOff>
    </xdr:from>
    <xdr:to>
      <xdr:col>9</xdr:col>
      <xdr:colOff>190500</xdr:colOff>
      <xdr:row>18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E9DECA1-43CC-4A3A-A1F4-5F950E092A4F}"/>
            </a:ext>
          </a:extLst>
        </xdr:cNvPr>
        <xdr:cNvSpPr txBox="1"/>
      </xdr:nvSpPr>
      <xdr:spPr>
        <a:xfrm>
          <a:off x="2762250" y="2200275"/>
          <a:ext cx="3819525" cy="15430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>
              <a:solidFill>
                <a:srgbClr val="FF0000"/>
              </a:solidFill>
            </a:rPr>
            <a:t>3º Passo</a:t>
          </a:r>
        </a:p>
        <a:p>
          <a:endParaRPr lang="pt-BR" sz="1100"/>
        </a:p>
        <a:p>
          <a:r>
            <a:rPr lang="pt-BR" sz="2400"/>
            <a:t>Inserir os dados de vazão afluente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10</xdr:col>
      <xdr:colOff>161925</xdr:colOff>
      <xdr:row>19</xdr:row>
      <xdr:rowOff>19050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C081F11-662D-4875-930F-F915766F58B6}"/>
            </a:ext>
          </a:extLst>
        </xdr:cNvPr>
        <xdr:cNvSpPr txBox="1"/>
      </xdr:nvSpPr>
      <xdr:spPr>
        <a:xfrm>
          <a:off x="3533775" y="2219325"/>
          <a:ext cx="3819525" cy="15430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>
              <a:solidFill>
                <a:srgbClr val="FF0000"/>
              </a:solidFill>
            </a:rPr>
            <a:t>3º Passo</a:t>
          </a:r>
        </a:p>
        <a:p>
          <a:endParaRPr lang="pt-BR" sz="1100"/>
        </a:p>
        <a:p>
          <a:r>
            <a:rPr lang="pt-BR" sz="2400"/>
            <a:t>Inserir os dados de precipitação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152400</xdr:colOff>
      <xdr:row>14</xdr:row>
      <xdr:rowOff>9525</xdr:rowOff>
    </xdr:from>
    <xdr:to>
      <xdr:col>36</xdr:col>
      <xdr:colOff>360324</xdr:colOff>
      <xdr:row>52</xdr:row>
      <xdr:rowOff>56235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366ABD-49A7-4066-B525-D94410925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11725" y="2000250"/>
          <a:ext cx="13009524" cy="731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5</xdr:row>
      <xdr:rowOff>0</xdr:rowOff>
    </xdr:from>
    <xdr:to>
      <xdr:col>40</xdr:col>
      <xdr:colOff>207924</xdr:colOff>
      <xdr:row>42</xdr:row>
      <xdr:rowOff>151486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AA928A-7404-49D8-A751-1B2F2408C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97725" y="0"/>
          <a:ext cx="13009524" cy="73142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9B7F4-B0B8-4D0E-A8A0-C2A7B004BE28}" name="Tabela1" displayName="Tabela1" ref="A6:C57" totalsRowShown="0" headerRowDxfId="43" headerRowBorderDxfId="42" tableBorderDxfId="41" totalsRowBorderDxfId="40">
  <autoFilter ref="A6:C57" xr:uid="{9729B7F4-B0B8-4D0E-A8A0-C2A7B004BE28}"/>
  <tableColumns count="3">
    <tableColumn id="1" xr3:uid="{8AEED749-5A15-4C5E-BC9E-A1D11967FDB4}" name="Cota (m)" dataDxfId="39"/>
    <tableColumn id="2" xr3:uid="{D409577A-34A1-409F-A067-76331C897E22}" name="Área (m2)" dataDxfId="38"/>
    <tableColumn id="3" xr3:uid="{59EBA893-E2A1-4B3E-B84F-48394DE33657}" name="Volume (m3)" dataDxfId="3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A9BE71-E009-4098-BA51-044FC604F094}" name="Tabela2" displayName="Tabela2" ref="A6:D18" totalsRowShown="0" headerRowDxfId="36">
  <autoFilter ref="A6:D18" xr:uid="{D5A9BE71-E009-4098-BA51-044FC604F094}"/>
  <tableColumns count="4">
    <tableColumn id="1" xr3:uid="{A536F8F2-46E5-4809-B23B-28E71D2A5810}" name="Mês"/>
    <tableColumn id="2" xr3:uid="{A0BE3DC4-1624-4CE4-8A53-49D2C8C5AE9A}" name="Qdem (m3/s)" dataDxfId="35"/>
    <tableColumn id="4" xr3:uid="{EA8562E8-41B4-45DE-881F-823AC6D28B11}" name="Evp (mm)" dataDxfId="34"/>
    <tableColumn id="3" xr3:uid="{70B85DE7-2A60-4287-83B6-096C656D9AEC}" name="Evp (m)" dataDxfId="33">
      <calculatedColumnFormula>Tabela2[[#This Row],[Evp (mm)]]/1000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96EEE4-7735-4028-9E38-0BED03CF7DC1}" name="Tabela3" displayName="Tabela3" ref="A6:B68" totalsRowShown="0">
  <autoFilter ref="A6:B68" xr:uid="{5396EEE4-7735-4028-9E38-0BED03CF7DC1}"/>
  <tableColumns count="2">
    <tableColumn id="1" xr3:uid="{D9AB98AC-D25A-4480-B0BE-F6D23D80BE0D}" name="Mês" dataDxfId="32"/>
    <tableColumn id="2" xr3:uid="{71A04D6D-A417-4E45-BA67-370C11F7CD0E}" name="Vazão Afluente (m3/s)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125886-B1D9-40C8-98D2-F8D34624FA5A}" name="Tabela4" displayName="Tabela4" ref="A6:B100" totalsRowShown="0" headerRowDxfId="30">
  <autoFilter ref="A6:B100" xr:uid="{39125886-B1D9-40C8-98D2-F8D34624FA5A}"/>
  <tableColumns count="2">
    <tableColumn id="1" xr3:uid="{A4E8F7B1-AF21-42BC-910E-8C8E52A105E3}" name="Mês" dataDxfId="29"/>
    <tableColumn id="2" xr3:uid="{B13EC01C-459F-44FB-8E1E-2E3CF6444536}" name="Precipitação (em mm)" dataDxfId="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6919F0-28AC-401C-94E6-A655FE57CB99}" name="Tabela6" displayName="Tabela6" ref="A15:K102" totalsRowShown="0" headerRowDxfId="27" dataDxfId="26" tableBorderDxfId="25" dataCellStyle="Vírgula">
  <autoFilter ref="A15:K102" xr:uid="{AC6919F0-28AC-401C-94E6-A655FE57CB99}"/>
  <tableColumns count="11">
    <tableColumn id="1" xr3:uid="{7A250AB1-F275-475A-AC3C-4BF6497A30FD}" name="Mês" dataDxfId="24"/>
    <tableColumn id="2" xr3:uid="{A4A0B23E-319F-4496-A7F1-B549897FDE53}" name="Número de dias do mês" dataDxfId="23"/>
    <tableColumn id="3" xr3:uid="{0EF0AA08-FE9B-433B-8B4C-53188A364345}" name="Volume (em m3)" dataDxfId="22" dataCellStyle="Vírgula"/>
    <tableColumn id="4" xr3:uid="{3059F77D-89DD-44F4-AF5A-4D483E4452CD}" name="Área (m2)" dataDxfId="21" dataCellStyle="Vírgula"/>
    <tableColumn id="5" xr3:uid="{29F689EC-F392-431D-BD44-6538410026CD}" name="Evaporação" dataDxfId="20" dataCellStyle="Vírgula"/>
    <tableColumn id="6" xr3:uid="{129187F7-E42D-4E72-97F1-EB5BB82E57A0}" name="Volume referente a E (m3)" dataDxfId="19" dataCellStyle="Vírgula"/>
    <tableColumn id="7" xr3:uid="{1E966301-9C93-47CA-8BCF-4A1B0DA3ADF8}" name="Afluxo Líquido (m3)" dataDxfId="18" dataCellStyle="Vírgula"/>
    <tableColumn id="8" xr3:uid="{243158FB-B7F5-499F-B233-C9E0BF947218}" name="Demandas (m3/s)" dataDxfId="17" dataCellStyle="Vírgula"/>
    <tableColumn id="9" xr3:uid="{7BA8880D-AD83-44DA-90E2-9E3B936EA410}" name="Volumes das demandas (m3)" dataDxfId="16" dataCellStyle="Vírgula"/>
    <tableColumn id="10" xr3:uid="{54484CD5-7A0F-48BD-BB0A-71F4EC0EDE18}" name="Volumes acumulados" dataDxfId="15" dataCellStyle="Vírgula"/>
    <tableColumn id="11" xr3:uid="{EDDCD9B8-8D16-41A8-9048-F4090E4A54B1}" name="Volume final do mês" dataDxfId="14" dataCellStyle="Vírgula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D5C365-0ED3-4126-8C41-296439ED1CB3}" name="Tabela68" displayName="Tabela68" ref="A16:K103" totalsRowShown="0" headerRowDxfId="13" dataDxfId="12" tableBorderDxfId="11" dataCellStyle="Vírgula">
  <autoFilter ref="A16:K103" xr:uid="{AC6919F0-28AC-401C-94E6-A655FE57CB99}"/>
  <tableColumns count="11">
    <tableColumn id="1" xr3:uid="{DDA110FA-5AAC-436B-BF48-A68C70135DA9}" name="Mês" dataDxfId="10"/>
    <tableColumn id="2" xr3:uid="{3B6137C6-2C3D-49CE-8E9A-5B78879FA358}" name="Número de dias do mês" dataDxfId="9"/>
    <tableColumn id="3" xr3:uid="{11F7CA9B-6647-47F0-8237-7A5CDADD8578}" name="Volume (em m3)" dataDxfId="8" dataCellStyle="Vírgula"/>
    <tableColumn id="4" xr3:uid="{B29B6E5E-EE39-419A-894E-449ED5E9D62C}" name="Área (m2)" dataDxfId="7" dataCellStyle="Vírgula"/>
    <tableColumn id="5" xr3:uid="{AF3E3B64-A090-4436-AC3F-0D3E522DAA04}" name="Evaporação" dataDxfId="6" dataCellStyle="Vírgula"/>
    <tableColumn id="6" xr3:uid="{D4B5BFD4-0E56-487D-9C00-54DDE84F9EA0}" name="Volume referente a E (m3)" dataDxfId="5" dataCellStyle="Vírgula">
      <calculatedColumnFormula>E17*D17</calculatedColumnFormula>
    </tableColumn>
    <tableColumn id="7" xr3:uid="{ED910C13-DB47-411A-B223-45E8F2E178FB}" name="Afluxo Líquido (m3)" dataDxfId="4" dataCellStyle="Vírgula">
      <calculatedColumnFormula>(C17-F17)</calculatedColumnFormula>
    </tableColumn>
    <tableColumn id="8" xr3:uid="{499564E6-5BA0-46C1-B6CB-398721DBAE07}" name="Demandas (m3/s)" dataDxfId="3" dataCellStyle="Vírgula">
      <calculatedColumnFormula>'Dados de demanda e evaporação'!$B$7</calculatedColumnFormula>
    </tableColumn>
    <tableColumn id="9" xr3:uid="{884866D3-6D67-4CD1-8A05-22F52AC47EA1}" name="Volumes das demandas (m3)" dataDxfId="2" dataCellStyle="Vírgula">
      <calculatedColumnFormula>H17*B17*(3600*24)</calculatedColumnFormula>
    </tableColumn>
    <tableColumn id="10" xr3:uid="{A0521A22-EE36-4EE8-8499-3B9FCC045CA8}" name="Volumes acumulados" dataDxfId="1" dataCellStyle="Vírgula">
      <calculatedColumnFormula>G17-I17</calculatedColumnFormula>
    </tableColumn>
    <tableColumn id="11" xr3:uid="{42F84871-D97D-4999-8F31-CEF1371A1F72}" name="Volume final do mês" dataDxfId="0" dataCellStyle="Vírgula">
      <calculatedColumnFormula>IF(J17&lt;$D$10,J17,$D$10)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08FD-DEF2-4C54-9A13-956BED13E585}">
  <sheetPr>
    <tabColor theme="4"/>
  </sheetPr>
  <dimension ref="A1:AC57"/>
  <sheetViews>
    <sheetView tabSelected="1" topLeftCell="A32" workbookViewId="0">
      <selection activeCell="O21" sqref="O21"/>
    </sheetView>
  </sheetViews>
  <sheetFormatPr defaultRowHeight="15" x14ac:dyDescent="0.25"/>
  <cols>
    <col min="1" max="1" width="10.7109375" customWidth="1"/>
    <col min="2" max="2" width="11.5703125" customWidth="1"/>
    <col min="3" max="3" width="14.42578125" customWidth="1"/>
  </cols>
  <sheetData>
    <row r="1" spans="1:29" s="48" customFormat="1" ht="7.5" customHeight="1" x14ac:dyDescent="0.25"/>
    <row r="2" spans="1:29" s="49" customFormat="1" ht="57.95" customHeight="1" x14ac:dyDescent="0.25">
      <c r="G2" s="52" t="s">
        <v>0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spans="1:29" s="50" customFormat="1" ht="45" customHeight="1" thickBot="1" x14ac:dyDescent="0.3">
      <c r="G3" s="53" t="s">
        <v>1</v>
      </c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 spans="1:29" s="50" customFormat="1" ht="21" thickTop="1" thickBot="1" x14ac:dyDescent="0.3">
      <c r="B4" s="54" t="s">
        <v>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29" ht="15.75" thickTop="1" x14ac:dyDescent="0.25"/>
    <row r="6" spans="1:29" ht="17.25" x14ac:dyDescent="0.25">
      <c r="A6" s="10" t="s">
        <v>3</v>
      </c>
      <c r="B6" s="11" t="s">
        <v>4</v>
      </c>
      <c r="C6" s="12" t="s">
        <v>5</v>
      </c>
    </row>
    <row r="7" spans="1:29" x14ac:dyDescent="0.25">
      <c r="A7" s="5">
        <v>340.36</v>
      </c>
      <c r="B7" s="4">
        <v>0</v>
      </c>
      <c r="C7" s="6">
        <v>0</v>
      </c>
    </row>
    <row r="8" spans="1:29" x14ac:dyDescent="0.25">
      <c r="A8" s="5">
        <v>342.36</v>
      </c>
      <c r="B8" s="4">
        <v>200</v>
      </c>
      <c r="C8" s="6">
        <v>4000</v>
      </c>
    </row>
    <row r="9" spans="1:29" x14ac:dyDescent="0.25">
      <c r="A9" s="5">
        <v>343</v>
      </c>
      <c r="B9" s="4">
        <v>37223</v>
      </c>
      <c r="C9" s="6">
        <v>16994</v>
      </c>
    </row>
    <row r="10" spans="1:29" x14ac:dyDescent="0.25">
      <c r="A10" s="5">
        <v>344</v>
      </c>
      <c r="B10" s="4">
        <v>70593</v>
      </c>
      <c r="C10" s="6">
        <v>70593</v>
      </c>
    </row>
    <row r="11" spans="1:29" x14ac:dyDescent="0.25">
      <c r="A11" s="5">
        <v>345</v>
      </c>
      <c r="B11" s="4">
        <v>142867</v>
      </c>
      <c r="C11" s="6">
        <v>174286</v>
      </c>
    </row>
    <row r="12" spans="1:29" x14ac:dyDescent="0.25">
      <c r="A12" s="5">
        <v>346</v>
      </c>
      <c r="B12" s="4">
        <v>257180</v>
      </c>
      <c r="C12" s="6">
        <v>366771</v>
      </c>
    </row>
    <row r="13" spans="1:29" x14ac:dyDescent="0.25">
      <c r="A13" s="5">
        <v>347</v>
      </c>
      <c r="B13" s="4">
        <v>421869</v>
      </c>
      <c r="C13" s="6">
        <v>707956</v>
      </c>
    </row>
    <row r="14" spans="1:29" x14ac:dyDescent="0.25">
      <c r="A14" s="5">
        <v>348</v>
      </c>
      <c r="B14" s="4">
        <v>631536</v>
      </c>
      <c r="C14" s="6">
        <v>1230617</v>
      </c>
    </row>
    <row r="15" spans="1:29" x14ac:dyDescent="0.25">
      <c r="A15" s="5">
        <v>349</v>
      </c>
      <c r="B15" s="4">
        <v>873903</v>
      </c>
      <c r="C15" s="6">
        <v>1981542</v>
      </c>
    </row>
    <row r="16" spans="1:29" x14ac:dyDescent="0.25">
      <c r="A16" s="5">
        <v>350</v>
      </c>
      <c r="B16" s="4">
        <v>1158564</v>
      </c>
      <c r="C16" s="6">
        <v>2990176</v>
      </c>
    </row>
    <row r="17" spans="1:3" x14ac:dyDescent="0.25">
      <c r="A17" s="5">
        <v>351</v>
      </c>
      <c r="B17" s="4">
        <v>1506467</v>
      </c>
      <c r="C17" s="6">
        <v>4314820</v>
      </c>
    </row>
    <row r="18" spans="1:3" x14ac:dyDescent="0.25">
      <c r="A18" s="5">
        <v>352</v>
      </c>
      <c r="B18" s="4">
        <v>1866251</v>
      </c>
      <c r="C18" s="6">
        <v>5996469</v>
      </c>
    </row>
    <row r="19" spans="1:3" x14ac:dyDescent="0.25">
      <c r="A19" s="5">
        <v>353</v>
      </c>
      <c r="B19" s="4">
        <v>2261179</v>
      </c>
      <c r="C19" s="6">
        <v>8058687</v>
      </c>
    </row>
    <row r="20" spans="1:3" x14ac:dyDescent="0.25">
      <c r="A20" s="5">
        <v>354</v>
      </c>
      <c r="B20" s="4">
        <v>2697741</v>
      </c>
      <c r="C20" s="6">
        <v>10529191</v>
      </c>
    </row>
    <row r="21" spans="1:3" x14ac:dyDescent="0.25">
      <c r="A21" s="5">
        <v>355</v>
      </c>
      <c r="B21" s="4">
        <v>3217443</v>
      </c>
      <c r="C21" s="6">
        <v>13477904</v>
      </c>
    </row>
    <row r="22" spans="1:3" x14ac:dyDescent="0.25">
      <c r="A22" s="7">
        <v>356</v>
      </c>
      <c r="B22" s="8">
        <v>3859121</v>
      </c>
      <c r="C22" s="9">
        <v>17006273</v>
      </c>
    </row>
    <row r="23" spans="1:3" x14ac:dyDescent="0.25">
      <c r="A23" s="7">
        <v>357</v>
      </c>
      <c r="B23" s="8">
        <v>4556783</v>
      </c>
      <c r="C23" s="9">
        <v>21217917</v>
      </c>
    </row>
    <row r="24" spans="1:3" x14ac:dyDescent="0.25">
      <c r="A24" s="7">
        <v>358</v>
      </c>
      <c r="B24" s="8">
        <v>5260937</v>
      </c>
      <c r="C24" s="9">
        <v>26112154</v>
      </c>
    </row>
    <row r="25" spans="1:3" x14ac:dyDescent="0.25">
      <c r="A25" s="7">
        <v>359</v>
      </c>
      <c r="B25" s="8">
        <v>6158316</v>
      </c>
      <c r="C25" s="9">
        <v>31819531</v>
      </c>
    </row>
    <row r="26" spans="1:3" x14ac:dyDescent="0.25">
      <c r="A26" s="7">
        <v>360</v>
      </c>
      <c r="B26" s="8">
        <v>7030425</v>
      </c>
      <c r="C26" s="9">
        <v>38841664</v>
      </c>
    </row>
    <row r="27" spans="1:3" x14ac:dyDescent="0.25">
      <c r="A27" s="7">
        <v>361</v>
      </c>
      <c r="B27" s="8">
        <v>8020009</v>
      </c>
      <c r="C27" s="9">
        <v>45934680</v>
      </c>
    </row>
    <row r="28" spans="1:3" x14ac:dyDescent="0.25">
      <c r="A28" s="7">
        <v>362</v>
      </c>
      <c r="B28" s="8">
        <v>8999597</v>
      </c>
      <c r="C28" s="9">
        <v>54453579</v>
      </c>
    </row>
    <row r="29" spans="1:3" x14ac:dyDescent="0.25">
      <c r="A29" s="7">
        <v>363</v>
      </c>
      <c r="B29" s="8">
        <v>10013408</v>
      </c>
      <c r="C29" s="9">
        <v>63965416</v>
      </c>
    </row>
    <row r="30" spans="1:3" x14ac:dyDescent="0.25">
      <c r="A30" s="7">
        <v>364</v>
      </c>
      <c r="B30" s="8">
        <v>11031533</v>
      </c>
      <c r="C30" s="9">
        <v>74490376</v>
      </c>
    </row>
    <row r="31" spans="1:3" x14ac:dyDescent="0.25">
      <c r="A31" s="7">
        <v>365</v>
      </c>
      <c r="B31" s="8">
        <v>12260463</v>
      </c>
      <c r="C31" s="9">
        <v>86139409</v>
      </c>
    </row>
    <row r="32" spans="1:3" x14ac:dyDescent="0.25">
      <c r="A32" s="7">
        <v>366</v>
      </c>
      <c r="B32" s="8">
        <v>13693060</v>
      </c>
      <c r="C32" s="9">
        <v>99074597</v>
      </c>
    </row>
    <row r="33" spans="1:3" x14ac:dyDescent="0.25">
      <c r="A33" s="7">
        <v>367</v>
      </c>
      <c r="B33" s="8">
        <v>15486319</v>
      </c>
      <c r="C33" s="9">
        <v>113650769</v>
      </c>
    </row>
    <row r="34" spans="1:3" x14ac:dyDescent="0.25">
      <c r="A34" s="7">
        <v>368</v>
      </c>
      <c r="B34" s="8">
        <v>17365964</v>
      </c>
      <c r="C34" s="9">
        <v>130099018</v>
      </c>
    </row>
    <row r="35" spans="1:3" x14ac:dyDescent="0.25">
      <c r="A35" s="7">
        <v>369</v>
      </c>
      <c r="B35" s="8">
        <v>19443185</v>
      </c>
      <c r="C35" s="9">
        <v>148504719</v>
      </c>
    </row>
    <row r="36" spans="1:3" x14ac:dyDescent="0.25">
      <c r="A36" s="7">
        <v>370</v>
      </c>
      <c r="B36" s="8">
        <v>21743159</v>
      </c>
      <c r="C36" s="9">
        <v>169122415</v>
      </c>
    </row>
    <row r="37" spans="1:3" x14ac:dyDescent="0.25">
      <c r="A37" s="7">
        <v>371</v>
      </c>
      <c r="B37" s="8">
        <v>24590550</v>
      </c>
      <c r="C37" s="9">
        <v>192184935</v>
      </c>
    </row>
    <row r="38" spans="1:3" x14ac:dyDescent="0.25">
      <c r="A38" s="7">
        <v>372</v>
      </c>
      <c r="B38" s="8">
        <v>26752308</v>
      </c>
      <c r="C38" s="9">
        <v>217765387</v>
      </c>
    </row>
    <row r="39" spans="1:3" x14ac:dyDescent="0.25">
      <c r="A39" s="7">
        <v>373</v>
      </c>
      <c r="B39" s="8">
        <v>29120116</v>
      </c>
      <c r="C39" s="9">
        <v>245796027</v>
      </c>
    </row>
    <row r="40" spans="1:3" x14ac:dyDescent="0.25">
      <c r="A40" s="7">
        <v>374</v>
      </c>
      <c r="B40" s="8">
        <v>31256425</v>
      </c>
      <c r="C40" s="9">
        <v>276130869</v>
      </c>
    </row>
    <row r="41" spans="1:3" x14ac:dyDescent="0.25">
      <c r="A41" s="7">
        <v>375</v>
      </c>
      <c r="B41" s="8">
        <v>33046998</v>
      </c>
      <c r="C41" s="9">
        <v>308486064</v>
      </c>
    </row>
    <row r="42" spans="1:3" x14ac:dyDescent="0.25">
      <c r="A42" s="7">
        <v>376</v>
      </c>
      <c r="B42" s="8">
        <v>34539523</v>
      </c>
      <c r="C42" s="9">
        <v>342495505</v>
      </c>
    </row>
    <row r="43" spans="1:3" x14ac:dyDescent="0.25">
      <c r="A43" s="7">
        <v>377</v>
      </c>
      <c r="B43" s="8">
        <v>36142787</v>
      </c>
      <c r="C43" s="9">
        <v>377846134</v>
      </c>
    </row>
    <row r="44" spans="1:3" x14ac:dyDescent="0.25">
      <c r="A44" s="7">
        <v>377.55</v>
      </c>
      <c r="B44" s="8">
        <v>38135841</v>
      </c>
      <c r="C44" s="9">
        <v>397990704</v>
      </c>
    </row>
    <row r="45" spans="1:3" x14ac:dyDescent="0.25">
      <c r="A45" s="5">
        <v>377.9</v>
      </c>
      <c r="B45" s="4">
        <v>39623321</v>
      </c>
      <c r="C45" s="6">
        <v>411686287</v>
      </c>
    </row>
    <row r="46" spans="1:3" x14ac:dyDescent="0.25">
      <c r="A46" s="5">
        <v>378</v>
      </c>
      <c r="B46" s="4">
        <v>39896103</v>
      </c>
      <c r="C46" s="6">
        <v>415686280</v>
      </c>
    </row>
    <row r="47" spans="1:3" x14ac:dyDescent="0.25">
      <c r="A47" s="5">
        <v>378.36</v>
      </c>
      <c r="B47" s="4">
        <v>40887353</v>
      </c>
      <c r="C47" s="6">
        <v>430306813</v>
      </c>
    </row>
    <row r="48" spans="1:3" x14ac:dyDescent="0.25">
      <c r="A48" s="5">
        <v>379</v>
      </c>
      <c r="B48" s="4">
        <v>42685456</v>
      </c>
      <c r="C48" s="6">
        <v>457161798</v>
      </c>
    </row>
    <row r="49" spans="1:3" x14ac:dyDescent="0.25">
      <c r="A49" s="5">
        <v>380</v>
      </c>
      <c r="B49" s="4">
        <v>45587858</v>
      </c>
      <c r="C49" s="6">
        <v>501383005</v>
      </c>
    </row>
    <row r="50" spans="1:3" x14ac:dyDescent="0.25">
      <c r="A50" s="5"/>
      <c r="B50" s="4"/>
      <c r="C50" s="6"/>
    </row>
    <row r="51" spans="1:3" x14ac:dyDescent="0.25">
      <c r="A51" s="5"/>
      <c r="B51" s="4"/>
      <c r="C51" s="6"/>
    </row>
    <row r="52" spans="1:3" x14ac:dyDescent="0.25">
      <c r="A52" s="5"/>
      <c r="B52" s="4"/>
      <c r="C52" s="6"/>
    </row>
    <row r="53" spans="1:3" x14ac:dyDescent="0.25">
      <c r="A53" s="5"/>
      <c r="B53" s="4"/>
      <c r="C53" s="6"/>
    </row>
    <row r="54" spans="1:3" x14ac:dyDescent="0.25">
      <c r="A54" s="5"/>
      <c r="B54" s="4"/>
      <c r="C54" s="6"/>
    </row>
    <row r="55" spans="1:3" x14ac:dyDescent="0.25">
      <c r="A55" s="5"/>
      <c r="B55" s="4"/>
      <c r="C55" s="6"/>
    </row>
    <row r="56" spans="1:3" x14ac:dyDescent="0.25">
      <c r="A56" s="5"/>
      <c r="B56" s="4"/>
      <c r="C56" s="6"/>
    </row>
    <row r="57" spans="1:3" x14ac:dyDescent="0.25">
      <c r="A57" s="7"/>
      <c r="B57" s="8"/>
      <c r="C57" s="9"/>
    </row>
  </sheetData>
  <mergeCells count="3">
    <mergeCell ref="G2:AC2"/>
    <mergeCell ref="G3:AC3"/>
    <mergeCell ref="B4:M4"/>
  </mergeCell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4E9A-649B-431E-90EC-D838B94BEA87}">
  <sheetPr>
    <tabColor theme="4"/>
  </sheetPr>
  <dimension ref="A1:AC18"/>
  <sheetViews>
    <sheetView workbookViewId="0">
      <selection sqref="A1:XFD4"/>
    </sheetView>
  </sheetViews>
  <sheetFormatPr defaultRowHeight="15" x14ac:dyDescent="0.25"/>
  <cols>
    <col min="1" max="1" width="10.42578125" bestFit="1" customWidth="1"/>
    <col min="2" max="2" width="15.5703125" bestFit="1" customWidth="1"/>
    <col min="3" max="3" width="15.5703125" customWidth="1"/>
    <col min="4" max="4" width="12.28515625" bestFit="1" customWidth="1"/>
    <col min="8" max="8" width="10.42578125" bestFit="1" customWidth="1"/>
    <col min="9" max="9" width="12" bestFit="1" customWidth="1"/>
    <col min="10" max="10" width="7.7109375" bestFit="1" customWidth="1"/>
  </cols>
  <sheetData>
    <row r="1" spans="1:29" s="48" customFormat="1" ht="7.5" customHeight="1" x14ac:dyDescent="0.25"/>
    <row r="2" spans="1:29" s="49" customFormat="1" ht="57.95" customHeight="1" x14ac:dyDescent="0.25">
      <c r="G2" s="52" t="s">
        <v>0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spans="1:29" s="50" customFormat="1" ht="45" customHeight="1" thickBot="1" x14ac:dyDescent="0.3">
      <c r="G3" s="53" t="s">
        <v>1</v>
      </c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 spans="1:29" s="50" customFormat="1" ht="21" thickTop="1" thickBot="1" x14ac:dyDescent="0.3">
      <c r="B4" s="54" t="s">
        <v>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29" ht="15.75" thickTop="1" x14ac:dyDescent="0.25"/>
    <row r="6" spans="1:29" ht="18" x14ac:dyDescent="0.25">
      <c r="A6" s="2" t="s">
        <v>6</v>
      </c>
      <c r="B6" s="2" t="s">
        <v>7</v>
      </c>
      <c r="C6" s="2" t="s">
        <v>8</v>
      </c>
      <c r="D6" s="2" t="s">
        <v>9</v>
      </c>
    </row>
    <row r="7" spans="1:29" x14ac:dyDescent="0.25">
      <c r="A7" t="s">
        <v>10</v>
      </c>
      <c r="B7" s="2">
        <v>0.6</v>
      </c>
      <c r="C7" s="2">
        <v>161.19999999999999</v>
      </c>
      <c r="D7" s="2">
        <f>Tabela2[[#This Row],[Evp (mm)]]/1000</f>
        <v>0.16119999999999998</v>
      </c>
    </row>
    <row r="8" spans="1:29" x14ac:dyDescent="0.25">
      <c r="A8" t="s">
        <v>11</v>
      </c>
      <c r="B8" s="2">
        <v>0.6</v>
      </c>
      <c r="C8" s="2">
        <v>142.80000000000001</v>
      </c>
      <c r="D8" s="2">
        <f>Tabela2[[#This Row],[Evp (mm)]]/1000</f>
        <v>0.14280000000000001</v>
      </c>
    </row>
    <row r="9" spans="1:29" x14ac:dyDescent="0.25">
      <c r="A9" t="s">
        <v>12</v>
      </c>
      <c r="B9" s="2">
        <v>0.6</v>
      </c>
      <c r="C9" s="2">
        <v>139.5</v>
      </c>
      <c r="D9" s="2">
        <f>Tabela2[[#This Row],[Evp (mm)]]/1000</f>
        <v>0.13950000000000001</v>
      </c>
    </row>
    <row r="10" spans="1:29" x14ac:dyDescent="0.25">
      <c r="A10" t="s">
        <v>13</v>
      </c>
      <c r="B10" s="2">
        <v>0.6</v>
      </c>
      <c r="C10" s="2">
        <v>114</v>
      </c>
      <c r="D10" s="2">
        <f>Tabela2[[#This Row],[Evp (mm)]]/1000</f>
        <v>0.114</v>
      </c>
    </row>
    <row r="11" spans="1:29" x14ac:dyDescent="0.25">
      <c r="A11" t="s">
        <v>14</v>
      </c>
      <c r="B11" s="2">
        <v>0.6</v>
      </c>
      <c r="C11" s="2">
        <v>89.9</v>
      </c>
      <c r="D11" s="2">
        <f>Tabela2[[#This Row],[Evp (mm)]]/1000</f>
        <v>8.9900000000000008E-2</v>
      </c>
    </row>
    <row r="12" spans="1:29" x14ac:dyDescent="0.25">
      <c r="A12" t="s">
        <v>15</v>
      </c>
      <c r="B12" s="2">
        <v>0.6</v>
      </c>
      <c r="C12" s="2">
        <v>75</v>
      </c>
      <c r="D12" s="2">
        <f>Tabela2[[#This Row],[Evp (mm)]]/1000</f>
        <v>7.4999999999999997E-2</v>
      </c>
    </row>
    <row r="13" spans="1:29" x14ac:dyDescent="0.25">
      <c r="A13" t="s">
        <v>16</v>
      </c>
      <c r="B13" s="2">
        <v>0.6</v>
      </c>
      <c r="C13" s="2">
        <v>80.599999999999994</v>
      </c>
      <c r="D13" s="2">
        <f>Tabela2[[#This Row],[Evp (mm)]]/1000</f>
        <v>8.0599999999999991E-2</v>
      </c>
    </row>
    <row r="14" spans="1:29" x14ac:dyDescent="0.25">
      <c r="A14" t="s">
        <v>17</v>
      </c>
      <c r="B14" s="2">
        <v>0.6</v>
      </c>
      <c r="C14" s="2">
        <v>99.2</v>
      </c>
      <c r="D14" s="2">
        <f>Tabela2[[#This Row],[Evp (mm)]]/1000</f>
        <v>9.9199999999999997E-2</v>
      </c>
    </row>
    <row r="15" spans="1:29" x14ac:dyDescent="0.25">
      <c r="A15" t="s">
        <v>18</v>
      </c>
      <c r="B15" s="2">
        <v>0.6</v>
      </c>
      <c r="C15" s="2">
        <v>126</v>
      </c>
      <c r="D15" s="2">
        <f>Tabela2[[#This Row],[Evp (mm)]]/1000</f>
        <v>0.126</v>
      </c>
    </row>
    <row r="16" spans="1:29" x14ac:dyDescent="0.25">
      <c r="A16" t="s">
        <v>19</v>
      </c>
      <c r="B16" s="2">
        <v>0.6</v>
      </c>
      <c r="C16" s="2">
        <v>151.9</v>
      </c>
      <c r="D16" s="2">
        <f>Tabela2[[#This Row],[Evp (mm)]]/1000</f>
        <v>0.15190000000000001</v>
      </c>
    </row>
    <row r="17" spans="1:4" x14ac:dyDescent="0.25">
      <c r="A17" t="s">
        <v>20</v>
      </c>
      <c r="B17" s="2">
        <v>0.6</v>
      </c>
      <c r="C17" s="2">
        <v>156</v>
      </c>
      <c r="D17" s="2">
        <f>Tabela2[[#This Row],[Evp (mm)]]/1000</f>
        <v>0.156</v>
      </c>
    </row>
    <row r="18" spans="1:4" x14ac:dyDescent="0.25">
      <c r="A18" t="s">
        <v>21</v>
      </c>
      <c r="B18" s="2">
        <v>0.6</v>
      </c>
      <c r="C18" s="2">
        <v>161.19999999999999</v>
      </c>
      <c r="D18" s="2">
        <f>Tabela2[[#This Row],[Evp (mm)]]/1000</f>
        <v>0.16119999999999998</v>
      </c>
    </row>
  </sheetData>
  <mergeCells count="3">
    <mergeCell ref="G2:AC2"/>
    <mergeCell ref="G3:AC3"/>
    <mergeCell ref="B4:M4"/>
  </mergeCells>
  <phoneticPr fontId="8" type="noConversion"/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48CF-E463-4F1B-83DA-2A8E5B3B6BE4}">
  <dimension ref="A2:E68"/>
  <sheetViews>
    <sheetView workbookViewId="0">
      <selection activeCell="F7" sqref="F7"/>
    </sheetView>
  </sheetViews>
  <sheetFormatPr defaultRowHeight="15" x14ac:dyDescent="0.25"/>
  <cols>
    <col min="2" max="2" width="22.7109375" customWidth="1"/>
  </cols>
  <sheetData>
    <row r="2" spans="1:5" ht="15.75" thickBot="1" x14ac:dyDescent="0.3"/>
    <row r="3" spans="1:5" ht="24" thickBot="1" x14ac:dyDescent="0.4">
      <c r="A3" s="55" t="s">
        <v>22</v>
      </c>
      <c r="B3" s="56"/>
      <c r="C3" s="56"/>
      <c r="D3" s="56"/>
      <c r="E3" s="57"/>
    </row>
    <row r="6" spans="1:5" ht="17.25" x14ac:dyDescent="0.25">
      <c r="A6" s="2" t="s">
        <v>6</v>
      </c>
      <c r="B6" s="3" t="s">
        <v>23</v>
      </c>
    </row>
    <row r="7" spans="1:5" x14ac:dyDescent="0.25">
      <c r="A7" s="14">
        <v>31778</v>
      </c>
      <c r="B7" s="1">
        <v>7.4</v>
      </c>
    </row>
    <row r="8" spans="1:5" x14ac:dyDescent="0.25">
      <c r="A8" s="14">
        <v>31809</v>
      </c>
      <c r="B8" s="1">
        <v>18.2</v>
      </c>
    </row>
    <row r="9" spans="1:5" x14ac:dyDescent="0.25">
      <c r="A9" s="14">
        <v>31837</v>
      </c>
      <c r="B9" s="1">
        <v>33.6</v>
      </c>
    </row>
    <row r="10" spans="1:5" x14ac:dyDescent="0.25">
      <c r="A10" s="14">
        <v>31868</v>
      </c>
      <c r="B10" s="1">
        <v>18.5</v>
      </c>
    </row>
    <row r="11" spans="1:5" x14ac:dyDescent="0.25">
      <c r="A11" s="14">
        <v>31898</v>
      </c>
      <c r="B11" s="1">
        <v>9.5</v>
      </c>
    </row>
    <row r="12" spans="1:5" x14ac:dyDescent="0.25">
      <c r="A12" s="14">
        <v>31929</v>
      </c>
      <c r="B12" s="1">
        <v>26.9</v>
      </c>
    </row>
    <row r="13" spans="1:5" x14ac:dyDescent="0.25">
      <c r="A13" s="14">
        <v>31959</v>
      </c>
      <c r="B13" s="1">
        <v>19</v>
      </c>
    </row>
    <row r="14" spans="1:5" x14ac:dyDescent="0.25">
      <c r="A14" s="14">
        <v>31990</v>
      </c>
      <c r="B14" s="1">
        <v>13.7</v>
      </c>
    </row>
    <row r="15" spans="1:5" x14ac:dyDescent="0.25">
      <c r="A15" s="14">
        <v>32021</v>
      </c>
      <c r="B15" s="1">
        <v>10.1</v>
      </c>
    </row>
    <row r="16" spans="1:5" x14ac:dyDescent="0.25">
      <c r="A16" s="14">
        <v>32051</v>
      </c>
      <c r="B16" s="1">
        <v>6.6</v>
      </c>
    </row>
    <row r="17" spans="1:2" x14ac:dyDescent="0.25">
      <c r="A17" s="14">
        <v>32082</v>
      </c>
      <c r="B17" s="1">
        <v>4.5</v>
      </c>
    </row>
    <row r="18" spans="1:2" x14ac:dyDescent="0.25">
      <c r="A18" s="14">
        <v>32112</v>
      </c>
      <c r="B18" s="1">
        <v>4.7</v>
      </c>
    </row>
    <row r="19" spans="1:2" x14ac:dyDescent="0.25">
      <c r="A19" s="14">
        <v>32143</v>
      </c>
      <c r="B19" s="1">
        <v>4.4000000000000004</v>
      </c>
    </row>
    <row r="20" spans="1:2" x14ac:dyDescent="0.25">
      <c r="A20" s="14">
        <v>32174</v>
      </c>
      <c r="B20" s="1">
        <v>4.0999999999999996</v>
      </c>
    </row>
    <row r="21" spans="1:2" x14ac:dyDescent="0.25">
      <c r="A21" s="14">
        <v>32203</v>
      </c>
      <c r="B21" s="1">
        <v>5.4</v>
      </c>
    </row>
    <row r="22" spans="1:2" x14ac:dyDescent="0.25">
      <c r="A22" s="14">
        <v>32234</v>
      </c>
      <c r="B22" s="1">
        <v>23.9</v>
      </c>
    </row>
    <row r="23" spans="1:2" x14ac:dyDescent="0.25">
      <c r="A23" s="14">
        <v>32264</v>
      </c>
      <c r="B23" s="1">
        <v>33.299999999999997</v>
      </c>
    </row>
    <row r="24" spans="1:2" x14ac:dyDescent="0.25">
      <c r="A24" s="14">
        <v>32295</v>
      </c>
      <c r="B24" s="1">
        <v>16.2</v>
      </c>
    </row>
    <row r="25" spans="1:2" x14ac:dyDescent="0.25">
      <c r="A25" s="14">
        <v>32325</v>
      </c>
      <c r="B25" s="1">
        <v>54.5</v>
      </c>
    </row>
    <row r="26" spans="1:2" x14ac:dyDescent="0.25">
      <c r="A26" s="14">
        <v>32356</v>
      </c>
      <c r="B26" s="1">
        <v>18.899999999999999</v>
      </c>
    </row>
    <row r="27" spans="1:2" x14ac:dyDescent="0.25">
      <c r="A27" s="14">
        <v>32387</v>
      </c>
      <c r="B27" s="1">
        <v>12</v>
      </c>
    </row>
    <row r="28" spans="1:2" x14ac:dyDescent="0.25">
      <c r="A28" s="14">
        <v>32417</v>
      </c>
      <c r="B28" s="1">
        <v>6.3</v>
      </c>
    </row>
    <row r="29" spans="1:2" x14ac:dyDescent="0.25">
      <c r="A29" s="14">
        <v>32448</v>
      </c>
      <c r="B29" s="1">
        <v>5.3</v>
      </c>
    </row>
    <row r="30" spans="1:2" x14ac:dyDescent="0.25">
      <c r="A30" s="14">
        <v>32478</v>
      </c>
      <c r="B30" s="1">
        <v>4.5</v>
      </c>
    </row>
    <row r="31" spans="1:2" x14ac:dyDescent="0.25">
      <c r="A31" s="14">
        <v>32509</v>
      </c>
      <c r="B31" s="1">
        <v>4.9000000000000004</v>
      </c>
    </row>
    <row r="32" spans="1:2" x14ac:dyDescent="0.25">
      <c r="A32" s="14">
        <v>32540</v>
      </c>
      <c r="B32" s="1">
        <v>3.7</v>
      </c>
    </row>
    <row r="33" spans="1:2" x14ac:dyDescent="0.25">
      <c r="A33" s="14">
        <v>32568</v>
      </c>
      <c r="B33" s="1">
        <v>5.8</v>
      </c>
    </row>
    <row r="34" spans="1:2" x14ac:dyDescent="0.25">
      <c r="A34" s="14">
        <v>32599</v>
      </c>
      <c r="B34" s="1">
        <v>34</v>
      </c>
    </row>
    <row r="35" spans="1:2" x14ac:dyDescent="0.25">
      <c r="A35" s="14">
        <v>32629</v>
      </c>
      <c r="B35" s="1">
        <v>32.6</v>
      </c>
    </row>
    <row r="36" spans="1:2" x14ac:dyDescent="0.25">
      <c r="A36" s="14">
        <v>32660</v>
      </c>
      <c r="B36" s="1">
        <v>25.3</v>
      </c>
    </row>
    <row r="37" spans="1:2" x14ac:dyDescent="0.25">
      <c r="A37" s="14">
        <v>32690</v>
      </c>
      <c r="B37" s="1">
        <v>65.8</v>
      </c>
    </row>
    <row r="38" spans="1:2" x14ac:dyDescent="0.25">
      <c r="A38" s="14">
        <v>32721</v>
      </c>
      <c r="B38" s="1">
        <v>22.5</v>
      </c>
    </row>
    <row r="39" spans="1:2" x14ac:dyDescent="0.25">
      <c r="A39" s="14">
        <v>32752</v>
      </c>
      <c r="B39" s="1">
        <v>12.3</v>
      </c>
    </row>
    <row r="40" spans="1:2" x14ac:dyDescent="0.25">
      <c r="A40" s="14">
        <v>32782</v>
      </c>
      <c r="B40" s="1">
        <v>8.5</v>
      </c>
    </row>
    <row r="41" spans="1:2" x14ac:dyDescent="0.25">
      <c r="A41" s="14">
        <v>32813</v>
      </c>
      <c r="B41" s="1">
        <v>7.8</v>
      </c>
    </row>
    <row r="42" spans="1:2" x14ac:dyDescent="0.25">
      <c r="A42" s="14">
        <v>32843</v>
      </c>
      <c r="B42" s="1">
        <v>10.1</v>
      </c>
    </row>
    <row r="43" spans="1:2" x14ac:dyDescent="0.25">
      <c r="A43" s="14"/>
      <c r="B43" s="1"/>
    </row>
    <row r="44" spans="1:2" x14ac:dyDescent="0.25">
      <c r="A44" s="14"/>
      <c r="B44" s="1"/>
    </row>
    <row r="45" spans="1:2" x14ac:dyDescent="0.25">
      <c r="A45" s="14"/>
      <c r="B45" s="1"/>
    </row>
    <row r="46" spans="1:2" x14ac:dyDescent="0.25">
      <c r="A46" s="14"/>
      <c r="B46" s="1"/>
    </row>
    <row r="47" spans="1:2" x14ac:dyDescent="0.25">
      <c r="A47" s="14"/>
      <c r="B47" s="1"/>
    </row>
    <row r="48" spans="1:2" x14ac:dyDescent="0.25">
      <c r="A48" s="14"/>
      <c r="B48" s="1"/>
    </row>
    <row r="49" spans="1:2" x14ac:dyDescent="0.25">
      <c r="A49" s="14"/>
      <c r="B49" s="1"/>
    </row>
    <row r="50" spans="1:2" x14ac:dyDescent="0.25">
      <c r="A50" s="14"/>
      <c r="B50" s="1"/>
    </row>
    <row r="51" spans="1:2" x14ac:dyDescent="0.25">
      <c r="A51" s="14"/>
      <c r="B51" s="1"/>
    </row>
    <row r="52" spans="1:2" x14ac:dyDescent="0.25">
      <c r="A52" s="14"/>
      <c r="B52" s="1"/>
    </row>
    <row r="53" spans="1:2" x14ac:dyDescent="0.25">
      <c r="A53" s="14"/>
      <c r="B53" s="1"/>
    </row>
    <row r="54" spans="1:2" x14ac:dyDescent="0.25">
      <c r="A54" s="14"/>
      <c r="B54" s="1"/>
    </row>
    <row r="55" spans="1:2" x14ac:dyDescent="0.25">
      <c r="A55" s="14"/>
      <c r="B55" s="1"/>
    </row>
    <row r="56" spans="1:2" x14ac:dyDescent="0.25">
      <c r="A56" s="14"/>
      <c r="B56" s="1"/>
    </row>
    <row r="57" spans="1:2" x14ac:dyDescent="0.25">
      <c r="A57" s="14"/>
      <c r="B57" s="1"/>
    </row>
    <row r="58" spans="1:2" x14ac:dyDescent="0.25">
      <c r="A58" s="14"/>
      <c r="B58" s="1"/>
    </row>
    <row r="59" spans="1:2" x14ac:dyDescent="0.25">
      <c r="A59" s="14"/>
      <c r="B59" s="1"/>
    </row>
    <row r="60" spans="1:2" x14ac:dyDescent="0.25">
      <c r="A60" s="14"/>
      <c r="B60" s="1"/>
    </row>
    <row r="61" spans="1:2" x14ac:dyDescent="0.25">
      <c r="A61" s="14"/>
      <c r="B61" s="1"/>
    </row>
    <row r="62" spans="1:2" x14ac:dyDescent="0.25">
      <c r="A62" s="14"/>
      <c r="B62" s="1"/>
    </row>
    <row r="63" spans="1:2" x14ac:dyDescent="0.25">
      <c r="A63" s="14"/>
      <c r="B63" s="1"/>
    </row>
    <row r="64" spans="1:2" x14ac:dyDescent="0.25">
      <c r="A64" s="14"/>
      <c r="B64" s="1"/>
    </row>
    <row r="65" spans="1:2" x14ac:dyDescent="0.25">
      <c r="A65" s="14"/>
      <c r="B65" s="1"/>
    </row>
    <row r="66" spans="1:2" x14ac:dyDescent="0.25">
      <c r="A66" s="14"/>
      <c r="B66" s="1"/>
    </row>
    <row r="67" spans="1:2" x14ac:dyDescent="0.25">
      <c r="A67" s="14"/>
      <c r="B67" s="1"/>
    </row>
    <row r="68" spans="1:2" x14ac:dyDescent="0.25">
      <c r="A68" s="14"/>
      <c r="B68" s="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A8DA-4541-4184-8FA7-128EC2C065A2}">
  <dimension ref="A2:E100"/>
  <sheetViews>
    <sheetView workbookViewId="0">
      <selection activeCell="D37" sqref="D37"/>
    </sheetView>
  </sheetViews>
  <sheetFormatPr defaultRowHeight="15" x14ac:dyDescent="0.25"/>
  <cols>
    <col min="1" max="1" width="9.42578125" bestFit="1" customWidth="1"/>
    <col min="2" max="2" width="25.28515625" bestFit="1" customWidth="1"/>
  </cols>
  <sheetData>
    <row r="2" spans="1:5" ht="15.75" thickBot="1" x14ac:dyDescent="0.3"/>
    <row r="3" spans="1:5" ht="24" thickBot="1" x14ac:dyDescent="0.4">
      <c r="A3" s="55" t="s">
        <v>24</v>
      </c>
      <c r="B3" s="56"/>
      <c r="C3" s="56"/>
      <c r="D3" s="56"/>
      <c r="E3" s="57"/>
    </row>
    <row r="6" spans="1:5" x14ac:dyDescent="0.25">
      <c r="A6" s="3" t="s">
        <v>6</v>
      </c>
      <c r="B6" s="3" t="s">
        <v>25</v>
      </c>
    </row>
    <row r="7" spans="1:5" x14ac:dyDescent="0.25">
      <c r="A7" s="14">
        <v>44562</v>
      </c>
      <c r="B7" s="13">
        <v>74.5</v>
      </c>
    </row>
    <row r="8" spans="1:5" x14ac:dyDescent="0.25">
      <c r="A8" s="14">
        <v>44593</v>
      </c>
      <c r="B8" s="13">
        <v>104.6</v>
      </c>
    </row>
    <row r="9" spans="1:5" x14ac:dyDescent="0.25">
      <c r="A9" s="14">
        <v>44621</v>
      </c>
      <c r="B9" s="13">
        <v>227.2</v>
      </c>
    </row>
    <row r="10" spans="1:5" x14ac:dyDescent="0.25">
      <c r="A10" s="14">
        <v>44652</v>
      </c>
      <c r="B10" s="13">
        <v>246</v>
      </c>
    </row>
    <row r="11" spans="1:5" x14ac:dyDescent="0.25">
      <c r="A11" s="14">
        <v>44682</v>
      </c>
      <c r="B11" s="13">
        <v>61.6</v>
      </c>
    </row>
    <row r="12" spans="1:5" x14ac:dyDescent="0.25">
      <c r="A12" s="14">
        <v>44713</v>
      </c>
      <c r="B12" s="13">
        <v>257.60000000000002</v>
      </c>
    </row>
    <row r="13" spans="1:5" x14ac:dyDescent="0.25">
      <c r="A13" s="14">
        <v>44743</v>
      </c>
      <c r="B13" s="13">
        <v>170.2</v>
      </c>
    </row>
    <row r="14" spans="1:5" x14ac:dyDescent="0.25">
      <c r="A14" s="14">
        <v>44774</v>
      </c>
      <c r="B14" s="13">
        <v>100.2</v>
      </c>
    </row>
    <row r="15" spans="1:5" x14ac:dyDescent="0.25">
      <c r="A15" s="14">
        <v>44805</v>
      </c>
      <c r="B15" s="13">
        <v>35.299999999999997</v>
      </c>
    </row>
    <row r="16" spans="1:5" x14ac:dyDescent="0.25">
      <c r="A16" s="14">
        <v>44835</v>
      </c>
      <c r="B16" s="13">
        <v>37.9</v>
      </c>
    </row>
    <row r="17" spans="1:2" x14ac:dyDescent="0.25">
      <c r="A17" s="14">
        <v>44866</v>
      </c>
      <c r="B17" s="13">
        <v>5.4</v>
      </c>
    </row>
    <row r="18" spans="1:2" x14ac:dyDescent="0.25">
      <c r="A18" s="14">
        <v>44896</v>
      </c>
      <c r="B18" s="13">
        <v>8.3000000000000007</v>
      </c>
    </row>
    <row r="19" spans="1:2" x14ac:dyDescent="0.25">
      <c r="A19" s="14">
        <v>44927</v>
      </c>
      <c r="B19" s="13">
        <v>46.5</v>
      </c>
    </row>
    <row r="20" spans="1:2" x14ac:dyDescent="0.25">
      <c r="A20" s="14">
        <v>44958</v>
      </c>
      <c r="B20" s="13">
        <v>35.5</v>
      </c>
    </row>
    <row r="21" spans="1:2" x14ac:dyDescent="0.25">
      <c r="A21" s="14">
        <v>44986</v>
      </c>
      <c r="B21" s="13">
        <v>168.2</v>
      </c>
    </row>
    <row r="22" spans="1:2" x14ac:dyDescent="0.25">
      <c r="A22" s="14">
        <v>45017</v>
      </c>
      <c r="B22" s="13">
        <v>233</v>
      </c>
    </row>
    <row r="23" spans="1:2" x14ac:dyDescent="0.25">
      <c r="A23" s="14">
        <v>45047</v>
      </c>
      <c r="B23" s="13">
        <v>199.9</v>
      </c>
    </row>
    <row r="24" spans="1:2" x14ac:dyDescent="0.25">
      <c r="A24" s="14">
        <v>45078</v>
      </c>
      <c r="B24" s="13">
        <v>216.8</v>
      </c>
    </row>
    <row r="25" spans="1:2" x14ac:dyDescent="0.25">
      <c r="A25" s="14">
        <v>45108</v>
      </c>
      <c r="B25" s="13">
        <v>418.1</v>
      </c>
    </row>
    <row r="26" spans="1:2" x14ac:dyDescent="0.25">
      <c r="A26" s="14">
        <v>45139</v>
      </c>
      <c r="B26" s="13">
        <v>92.3</v>
      </c>
    </row>
    <row r="27" spans="1:2" x14ac:dyDescent="0.25">
      <c r="A27" s="14">
        <v>45170</v>
      </c>
      <c r="B27" s="13">
        <v>56.7</v>
      </c>
    </row>
    <row r="28" spans="1:2" x14ac:dyDescent="0.25">
      <c r="A28" s="14">
        <v>45200</v>
      </c>
      <c r="B28" s="13">
        <v>31.1</v>
      </c>
    </row>
    <row r="29" spans="1:2" x14ac:dyDescent="0.25">
      <c r="A29" s="14">
        <v>45231</v>
      </c>
      <c r="B29" s="13">
        <v>40.6</v>
      </c>
    </row>
    <row r="30" spans="1:2" x14ac:dyDescent="0.25">
      <c r="A30" s="14">
        <v>45261</v>
      </c>
      <c r="B30" s="13">
        <v>60.9</v>
      </c>
    </row>
    <row r="31" spans="1:2" x14ac:dyDescent="0.25">
      <c r="A31" s="14">
        <v>45292</v>
      </c>
      <c r="B31" s="13">
        <v>58.1</v>
      </c>
    </row>
    <row r="32" spans="1:2" x14ac:dyDescent="0.25">
      <c r="A32" s="14">
        <v>45323</v>
      </c>
      <c r="B32" s="13">
        <v>30.1</v>
      </c>
    </row>
    <row r="33" spans="1:2" x14ac:dyDescent="0.25">
      <c r="A33" s="14">
        <v>45352</v>
      </c>
      <c r="B33" s="13">
        <v>100.1</v>
      </c>
    </row>
    <row r="34" spans="1:2" x14ac:dyDescent="0.25">
      <c r="A34" s="14">
        <v>45383</v>
      </c>
      <c r="B34" s="13">
        <v>257.7</v>
      </c>
    </row>
    <row r="35" spans="1:2" x14ac:dyDescent="0.25">
      <c r="A35" s="14">
        <v>45413</v>
      </c>
      <c r="B35" s="13">
        <v>216.2</v>
      </c>
    </row>
    <row r="36" spans="1:2" x14ac:dyDescent="0.25">
      <c r="A36" s="14">
        <v>45444</v>
      </c>
      <c r="B36" s="13">
        <v>210.5</v>
      </c>
    </row>
    <row r="37" spans="1:2" x14ac:dyDescent="0.25">
      <c r="A37" s="14">
        <v>45474</v>
      </c>
      <c r="B37" s="13">
        <v>411</v>
      </c>
    </row>
    <row r="38" spans="1:2" x14ac:dyDescent="0.25">
      <c r="A38" s="14">
        <v>45505</v>
      </c>
      <c r="B38" s="13">
        <v>106.8</v>
      </c>
    </row>
    <row r="39" spans="1:2" x14ac:dyDescent="0.25">
      <c r="A39" s="14">
        <v>45536</v>
      </c>
      <c r="B39" s="13">
        <v>48.4</v>
      </c>
    </row>
    <row r="40" spans="1:2" x14ac:dyDescent="0.25">
      <c r="A40" s="14">
        <v>45566</v>
      </c>
      <c r="B40" s="13">
        <v>33.9</v>
      </c>
    </row>
    <row r="41" spans="1:2" x14ac:dyDescent="0.25">
      <c r="A41" s="14">
        <v>45597</v>
      </c>
      <c r="B41" s="13">
        <v>45.9</v>
      </c>
    </row>
    <row r="42" spans="1:2" x14ac:dyDescent="0.25">
      <c r="A42" s="14">
        <v>45627</v>
      </c>
      <c r="B42" s="13">
        <v>76.7</v>
      </c>
    </row>
    <row r="43" spans="1:2" x14ac:dyDescent="0.25">
      <c r="A43" s="14"/>
      <c r="B43" s="13"/>
    </row>
    <row r="44" spans="1:2" x14ac:dyDescent="0.25">
      <c r="A44" s="14"/>
      <c r="B44" s="13"/>
    </row>
    <row r="45" spans="1:2" x14ac:dyDescent="0.25">
      <c r="A45" s="14"/>
      <c r="B45" s="13"/>
    </row>
    <row r="46" spans="1:2" x14ac:dyDescent="0.25">
      <c r="A46" s="14"/>
      <c r="B46" s="13"/>
    </row>
    <row r="47" spans="1:2" x14ac:dyDescent="0.25">
      <c r="A47" s="14"/>
      <c r="B47" s="13"/>
    </row>
    <row r="48" spans="1:2" x14ac:dyDescent="0.25">
      <c r="A48" s="14"/>
      <c r="B48" s="13"/>
    </row>
    <row r="49" spans="1:2" x14ac:dyDescent="0.25">
      <c r="A49" s="14"/>
      <c r="B49" s="13"/>
    </row>
    <row r="50" spans="1:2" x14ac:dyDescent="0.25">
      <c r="A50" s="14"/>
      <c r="B50" s="13"/>
    </row>
    <row r="51" spans="1:2" x14ac:dyDescent="0.25">
      <c r="A51" s="14"/>
      <c r="B51" s="13"/>
    </row>
    <row r="52" spans="1:2" x14ac:dyDescent="0.25">
      <c r="A52" s="14"/>
      <c r="B52" s="13"/>
    </row>
    <row r="53" spans="1:2" x14ac:dyDescent="0.25">
      <c r="A53" s="14"/>
      <c r="B53" s="13"/>
    </row>
    <row r="54" spans="1:2" x14ac:dyDescent="0.25">
      <c r="A54" s="14"/>
      <c r="B54" s="13"/>
    </row>
    <row r="55" spans="1:2" x14ac:dyDescent="0.25">
      <c r="A55" s="14"/>
      <c r="B55" s="13"/>
    </row>
    <row r="56" spans="1:2" x14ac:dyDescent="0.25">
      <c r="A56" s="14"/>
      <c r="B56" s="13"/>
    </row>
    <row r="57" spans="1:2" x14ac:dyDescent="0.25">
      <c r="A57" s="14"/>
      <c r="B57" s="13"/>
    </row>
    <row r="58" spans="1:2" x14ac:dyDescent="0.25">
      <c r="A58" s="14"/>
      <c r="B58" s="13"/>
    </row>
    <row r="59" spans="1:2" x14ac:dyDescent="0.25">
      <c r="A59" s="14"/>
      <c r="B59" s="13"/>
    </row>
    <row r="60" spans="1:2" x14ac:dyDescent="0.25">
      <c r="A60" s="14"/>
      <c r="B60" s="13"/>
    </row>
    <row r="61" spans="1:2" x14ac:dyDescent="0.25">
      <c r="A61" s="14"/>
      <c r="B61" s="13"/>
    </row>
    <row r="62" spans="1:2" x14ac:dyDescent="0.25">
      <c r="A62" s="14"/>
      <c r="B62" s="13"/>
    </row>
    <row r="63" spans="1:2" x14ac:dyDescent="0.25">
      <c r="A63" s="14"/>
      <c r="B63" s="13"/>
    </row>
    <row r="64" spans="1:2" x14ac:dyDescent="0.25">
      <c r="A64" s="14"/>
      <c r="B64" s="13"/>
    </row>
    <row r="65" spans="1:2" x14ac:dyDescent="0.25">
      <c r="A65" s="14"/>
      <c r="B65" s="13"/>
    </row>
    <row r="66" spans="1:2" x14ac:dyDescent="0.25">
      <c r="A66" s="14"/>
      <c r="B66" s="13"/>
    </row>
    <row r="67" spans="1:2" x14ac:dyDescent="0.25">
      <c r="A67" s="14"/>
      <c r="B67" s="13"/>
    </row>
    <row r="68" spans="1:2" x14ac:dyDescent="0.25">
      <c r="A68" s="14"/>
      <c r="B68" s="13"/>
    </row>
    <row r="69" spans="1:2" x14ac:dyDescent="0.25">
      <c r="A69" s="14"/>
      <c r="B69" s="13"/>
    </row>
    <row r="70" spans="1:2" x14ac:dyDescent="0.25">
      <c r="A70" s="14"/>
      <c r="B70" s="13"/>
    </row>
    <row r="71" spans="1:2" x14ac:dyDescent="0.25">
      <c r="A71" s="14"/>
      <c r="B71" s="13"/>
    </row>
    <row r="72" spans="1:2" x14ac:dyDescent="0.25">
      <c r="A72" s="14"/>
      <c r="B72" s="13"/>
    </row>
    <row r="73" spans="1:2" x14ac:dyDescent="0.25">
      <c r="A73" s="14"/>
      <c r="B73" s="13"/>
    </row>
    <row r="74" spans="1:2" x14ac:dyDescent="0.25">
      <c r="A74" s="14"/>
      <c r="B74" s="13"/>
    </row>
    <row r="75" spans="1:2" x14ac:dyDescent="0.25">
      <c r="A75" s="14"/>
      <c r="B75" s="13"/>
    </row>
    <row r="76" spans="1:2" x14ac:dyDescent="0.25">
      <c r="A76" s="14"/>
      <c r="B76" s="13"/>
    </row>
    <row r="77" spans="1:2" x14ac:dyDescent="0.25">
      <c r="A77" s="14"/>
      <c r="B77" s="13"/>
    </row>
    <row r="78" spans="1:2" x14ac:dyDescent="0.25">
      <c r="A78" s="14"/>
      <c r="B78" s="13"/>
    </row>
    <row r="79" spans="1:2" x14ac:dyDescent="0.25">
      <c r="A79" s="14"/>
      <c r="B79" s="13"/>
    </row>
    <row r="80" spans="1:2" x14ac:dyDescent="0.25">
      <c r="A80" s="14"/>
      <c r="B80" s="13"/>
    </row>
    <row r="81" spans="1:2" x14ac:dyDescent="0.25">
      <c r="A81" s="14"/>
      <c r="B81" s="13"/>
    </row>
    <row r="82" spans="1:2" x14ac:dyDescent="0.25">
      <c r="A82" s="14"/>
      <c r="B82" s="13"/>
    </row>
    <row r="83" spans="1:2" x14ac:dyDescent="0.25">
      <c r="A83" s="14"/>
      <c r="B83" s="13"/>
    </row>
    <row r="84" spans="1:2" x14ac:dyDescent="0.25">
      <c r="A84" s="14"/>
      <c r="B84" s="13"/>
    </row>
    <row r="85" spans="1:2" x14ac:dyDescent="0.25">
      <c r="A85" s="14"/>
      <c r="B85" s="13"/>
    </row>
    <row r="86" spans="1:2" x14ac:dyDescent="0.25">
      <c r="A86" s="14"/>
      <c r="B86" s="13"/>
    </row>
    <row r="87" spans="1:2" x14ac:dyDescent="0.25">
      <c r="A87" s="14"/>
      <c r="B87" s="13"/>
    </row>
    <row r="88" spans="1:2" x14ac:dyDescent="0.25">
      <c r="A88" s="14"/>
      <c r="B88" s="13"/>
    </row>
    <row r="89" spans="1:2" x14ac:dyDescent="0.25">
      <c r="A89" s="14"/>
      <c r="B89" s="13"/>
    </row>
    <row r="90" spans="1:2" x14ac:dyDescent="0.25">
      <c r="A90" s="14"/>
      <c r="B90" s="13"/>
    </row>
    <row r="91" spans="1:2" x14ac:dyDescent="0.25">
      <c r="A91" s="14"/>
      <c r="B91" s="13"/>
    </row>
    <row r="92" spans="1:2" x14ac:dyDescent="0.25">
      <c r="A92" s="14"/>
      <c r="B92" s="13"/>
    </row>
    <row r="93" spans="1:2" x14ac:dyDescent="0.25">
      <c r="A93" s="14"/>
      <c r="B93" s="13"/>
    </row>
    <row r="94" spans="1:2" x14ac:dyDescent="0.25">
      <c r="A94" s="14"/>
      <c r="B94" s="13"/>
    </row>
    <row r="95" spans="1:2" x14ac:dyDescent="0.25">
      <c r="A95" s="14"/>
      <c r="B95" s="13"/>
    </row>
    <row r="96" spans="1:2" x14ac:dyDescent="0.25">
      <c r="A96" s="14"/>
      <c r="B96" s="13"/>
    </row>
    <row r="97" spans="1:2" x14ac:dyDescent="0.25">
      <c r="A97" s="14"/>
      <c r="B97" s="13"/>
    </row>
    <row r="98" spans="1:2" x14ac:dyDescent="0.25">
      <c r="A98" s="14"/>
      <c r="B98" s="13"/>
    </row>
    <row r="99" spans="1:2" x14ac:dyDescent="0.25">
      <c r="A99" s="14"/>
      <c r="B99" s="13"/>
    </row>
    <row r="100" spans="1:2" x14ac:dyDescent="0.25">
      <c r="A100" s="14"/>
      <c r="B100" s="13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09CF-D7A9-4C76-B63E-1F1BE6D1524C}">
  <sheetPr>
    <tabColor theme="4"/>
  </sheetPr>
  <dimension ref="A1:AC111"/>
  <sheetViews>
    <sheetView topLeftCell="A2" zoomScale="110" zoomScaleNormal="110" workbookViewId="0">
      <selection activeCell="B1" sqref="A1:XFD4"/>
    </sheetView>
  </sheetViews>
  <sheetFormatPr defaultRowHeight="15" x14ac:dyDescent="0.25"/>
  <cols>
    <col min="1" max="1" width="9.42578125" style="2" bestFit="1" customWidth="1"/>
    <col min="2" max="2" width="26.85546875" style="2" bestFit="1" customWidth="1"/>
    <col min="3" max="3" width="17.7109375" style="2" customWidth="1"/>
    <col min="4" max="4" width="14.28515625" style="2" bestFit="1" customWidth="1"/>
    <col min="5" max="5" width="13.140625" style="2" customWidth="1"/>
    <col min="6" max="6" width="26.28515625" style="2" customWidth="1"/>
    <col min="7" max="7" width="20.28515625" style="2" customWidth="1"/>
    <col min="8" max="8" width="18.42578125" style="2" customWidth="1"/>
    <col min="9" max="9" width="31.28515625" style="2" bestFit="1" customWidth="1"/>
    <col min="10" max="10" width="22" style="2" customWidth="1"/>
    <col min="11" max="11" width="21.42578125" style="2" customWidth="1"/>
    <col min="15" max="15" width="13.28515625" bestFit="1" customWidth="1"/>
  </cols>
  <sheetData>
    <row r="1" spans="1:29" s="48" customFormat="1" ht="7.5" customHeight="1" x14ac:dyDescent="0.25"/>
    <row r="2" spans="1:29" s="49" customFormat="1" ht="57.95" customHeight="1" x14ac:dyDescent="0.25">
      <c r="G2" s="52" t="s">
        <v>0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spans="1:29" s="50" customFormat="1" ht="45" customHeight="1" thickBot="1" x14ac:dyDescent="0.3">
      <c r="G3" s="53" t="s">
        <v>1</v>
      </c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 spans="1:29" s="50" customFormat="1" ht="21" thickTop="1" thickBot="1" x14ac:dyDescent="0.3">
      <c r="B4" s="54" t="s">
        <v>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29" ht="15.75" thickTop="1" x14ac:dyDescent="0.25">
      <c r="A5" s="61" t="s">
        <v>26</v>
      </c>
      <c r="B5" s="62"/>
      <c r="C5" s="62"/>
      <c r="D5" s="62"/>
      <c r="E5" s="62"/>
      <c r="F5" s="62"/>
      <c r="G5" s="62"/>
      <c r="H5" s="63"/>
    </row>
    <row r="6" spans="1:29" ht="15.75" thickBot="1" x14ac:dyDescent="0.3">
      <c r="A6" s="64"/>
      <c r="B6" s="65"/>
      <c r="C6" s="65"/>
      <c r="D6" s="65"/>
      <c r="E6" s="65"/>
      <c r="F6" s="65"/>
      <c r="G6" s="65"/>
      <c r="H6" s="66"/>
    </row>
    <row r="7" spans="1:29" ht="15.75" thickBot="1" x14ac:dyDescent="0.3"/>
    <row r="8" spans="1:29" ht="18" thickBot="1" x14ac:dyDescent="0.3">
      <c r="A8" s="68" t="s">
        <v>27</v>
      </c>
      <c r="B8" s="69"/>
      <c r="C8" s="70"/>
      <c r="D8" s="20">
        <f>15312665.88</f>
        <v>15312665.880000001</v>
      </c>
      <c r="E8" s="21"/>
      <c r="F8" s="2" t="s">
        <v>28</v>
      </c>
    </row>
    <row r="9" spans="1:29" ht="15.75" thickBot="1" x14ac:dyDescent="0.3">
      <c r="A9" s="68" t="s">
        <v>29</v>
      </c>
      <c r="B9" s="69"/>
      <c r="C9" s="70"/>
      <c r="D9" s="20">
        <v>411686287</v>
      </c>
      <c r="E9" s="67" t="s">
        <v>30</v>
      </c>
      <c r="F9" s="67"/>
    </row>
    <row r="10" spans="1:29" ht="15.75" thickBot="1" x14ac:dyDescent="0.3">
      <c r="A10" s="68" t="s">
        <v>31</v>
      </c>
      <c r="B10" s="69"/>
      <c r="C10" s="70"/>
      <c r="D10" s="20">
        <f>1%*$D$9</f>
        <v>4116862.87</v>
      </c>
    </row>
    <row r="11" spans="1:29" ht="15.75" thickBot="1" x14ac:dyDescent="0.3">
      <c r="A11" s="68" t="s">
        <v>32</v>
      </c>
      <c r="B11" s="69"/>
      <c r="C11" s="70"/>
      <c r="D11" s="20">
        <f>D9-D10</f>
        <v>407569424.13</v>
      </c>
    </row>
    <row r="14" spans="1:29" x14ac:dyDescent="0.25">
      <c r="E14" s="73" t="s">
        <v>33</v>
      </c>
      <c r="F14" s="73"/>
      <c r="G14" s="73"/>
      <c r="H14" s="72" t="s">
        <v>34</v>
      </c>
      <c r="I14" s="72"/>
    </row>
    <row r="15" spans="1:29" ht="17.25" x14ac:dyDescent="0.25">
      <c r="A15" s="33" t="s">
        <v>6</v>
      </c>
      <c r="B15" s="34" t="s">
        <v>35</v>
      </c>
      <c r="C15" s="34" t="s">
        <v>36</v>
      </c>
      <c r="D15" s="34" t="s">
        <v>4</v>
      </c>
      <c r="E15" s="34" t="s">
        <v>37</v>
      </c>
      <c r="F15" s="34" t="s">
        <v>38</v>
      </c>
      <c r="G15" s="34" t="s">
        <v>39</v>
      </c>
      <c r="H15" s="34" t="s">
        <v>40</v>
      </c>
      <c r="I15" s="34" t="s">
        <v>41</v>
      </c>
      <c r="J15" s="34" t="s">
        <v>42</v>
      </c>
      <c r="K15" s="35" t="s">
        <v>43</v>
      </c>
    </row>
    <row r="16" spans="1:29" x14ac:dyDescent="0.25">
      <c r="A16" s="26">
        <v>42795</v>
      </c>
      <c r="B16" s="18">
        <v>31</v>
      </c>
      <c r="C16" s="24">
        <f>$D$8</f>
        <v>15312665.880000001</v>
      </c>
      <c r="D16" s="24">
        <f>0.2297*(C16)+226886</f>
        <v>3744205.3526360001</v>
      </c>
      <c r="E16" s="24">
        <f>'Dados de demanda e evaporação'!$D$9</f>
        <v>0.13950000000000001</v>
      </c>
      <c r="F16" s="24">
        <f>E16*D16</f>
        <v>522316.64669272205</v>
      </c>
      <c r="G16" s="24">
        <f>(C16-F16)</f>
        <v>14790349.23330728</v>
      </c>
      <c r="H16" s="24">
        <f>'Dados de demanda e evaporação'!$B$7</f>
        <v>0.6</v>
      </c>
      <c r="I16" s="24">
        <f>H16*B16*(3600*24)</f>
        <v>1607039.9999999998</v>
      </c>
      <c r="J16" s="24">
        <f>G16-I16</f>
        <v>13183309.23330728</v>
      </c>
      <c r="K16" s="27">
        <f>IF(J16&lt;$D$9,J16,$D$9)</f>
        <v>13183309.23330728</v>
      </c>
    </row>
    <row r="17" spans="1:15" x14ac:dyDescent="0.25">
      <c r="A17" s="26">
        <v>42826</v>
      </c>
      <c r="B17" s="19">
        <v>30</v>
      </c>
      <c r="C17" s="25">
        <f>K16</f>
        <v>13183309.23330728</v>
      </c>
      <c r="D17" s="25">
        <f t="shared" ref="D17:D51" si="0">22.256*C17^0.7153</f>
        <v>2756770.3808403159</v>
      </c>
      <c r="E17" s="25">
        <f>'Dados de demanda e evaporação'!$D$10</f>
        <v>0.114</v>
      </c>
      <c r="F17" s="25">
        <f t="shared" ref="F17:F52" si="1">E17*D17</f>
        <v>314271.82341579604</v>
      </c>
      <c r="G17" s="25">
        <f t="shared" ref="G17:G51" si="2">(C17-F17)</f>
        <v>12869037.409891484</v>
      </c>
      <c r="H17" s="25">
        <f>'Dados de demanda e evaporação'!$B$7</f>
        <v>0.6</v>
      </c>
      <c r="I17" s="25">
        <f t="shared" ref="I17:I47" si="3">H17*B17*(3600*24)</f>
        <v>1555200</v>
      </c>
      <c r="J17" s="25">
        <f t="shared" ref="J17:J51" si="4">G17-I17</f>
        <v>11313837.409891484</v>
      </c>
      <c r="K17" s="25">
        <f>IF(J17&lt;$D$9,J17,$D$9)</f>
        <v>11313837.409891484</v>
      </c>
    </row>
    <row r="18" spans="1:15" x14ac:dyDescent="0.25">
      <c r="A18" s="26">
        <v>42856</v>
      </c>
      <c r="B18" s="18">
        <v>31</v>
      </c>
      <c r="C18" s="24">
        <f t="shared" ref="C18:C52" si="5">K17</f>
        <v>11313837.409891484</v>
      </c>
      <c r="D18" s="24">
        <f t="shared" si="0"/>
        <v>2471122.6300097411</v>
      </c>
      <c r="E18" s="24">
        <f>'Dados de demanda e evaporação'!$D$11</f>
        <v>8.9900000000000008E-2</v>
      </c>
      <c r="F18" s="24">
        <f t="shared" si="1"/>
        <v>222153.92443787574</v>
      </c>
      <c r="G18" s="24">
        <f t="shared" si="2"/>
        <v>11091683.485453609</v>
      </c>
      <c r="H18" s="24">
        <f>'Dados de demanda e evaporação'!$B$7</f>
        <v>0.6</v>
      </c>
      <c r="I18" s="24">
        <f t="shared" si="3"/>
        <v>1607039.9999999998</v>
      </c>
      <c r="J18" s="24">
        <f t="shared" si="4"/>
        <v>9484643.4854536094</v>
      </c>
      <c r="K18" s="27">
        <f t="shared" ref="K18:K51" si="6">IF(J18&lt;$D$9,J18,$D$9)</f>
        <v>9484643.4854536094</v>
      </c>
      <c r="M18" s="71" t="s">
        <v>44</v>
      </c>
      <c r="N18" s="71"/>
      <c r="O18" s="31">
        <f>MIN(K16:K23)</f>
        <v>798583.24302628939</v>
      </c>
    </row>
    <row r="19" spans="1:15" x14ac:dyDescent="0.25">
      <c r="A19" s="26">
        <v>42887</v>
      </c>
      <c r="B19" s="19">
        <v>30</v>
      </c>
      <c r="C19" s="25">
        <f t="shared" si="5"/>
        <v>9484643.4854536094</v>
      </c>
      <c r="D19" s="25">
        <f t="shared" si="0"/>
        <v>2178262.634923677</v>
      </c>
      <c r="E19" s="25">
        <f>'Dados de demanda e evaporação'!$D$12</f>
        <v>7.4999999999999997E-2</v>
      </c>
      <c r="F19" s="25">
        <f t="shared" si="1"/>
        <v>163369.69761927577</v>
      </c>
      <c r="G19" s="25">
        <f t="shared" si="2"/>
        <v>9321273.7878343333</v>
      </c>
      <c r="H19" s="25">
        <f>'Dados de demanda e evaporação'!$B$7</f>
        <v>0.6</v>
      </c>
      <c r="I19" s="25">
        <f t="shared" si="3"/>
        <v>1555200</v>
      </c>
      <c r="J19" s="25">
        <f t="shared" si="4"/>
        <v>7766073.7878343333</v>
      </c>
      <c r="K19" s="25">
        <f t="shared" si="6"/>
        <v>7766073.7878343333</v>
      </c>
    </row>
    <row r="20" spans="1:15" x14ac:dyDescent="0.25">
      <c r="A20" s="26">
        <v>42917</v>
      </c>
      <c r="B20" s="18">
        <v>31</v>
      </c>
      <c r="C20" s="24">
        <f t="shared" si="5"/>
        <v>7766073.7878343333</v>
      </c>
      <c r="D20" s="24">
        <f t="shared" si="0"/>
        <v>1888027.2343635315</v>
      </c>
      <c r="E20" s="24">
        <f>'Dados de demanda e evaporação'!$D$13</f>
        <v>8.0599999999999991E-2</v>
      </c>
      <c r="F20" s="24">
        <f t="shared" si="1"/>
        <v>152174.99508970062</v>
      </c>
      <c r="G20" s="24">
        <f t="shared" si="2"/>
        <v>7613898.7927446328</v>
      </c>
      <c r="H20" s="24">
        <f>'Dados de demanda e evaporação'!$B$7</f>
        <v>0.6</v>
      </c>
      <c r="I20" s="24">
        <f t="shared" si="3"/>
        <v>1607039.9999999998</v>
      </c>
      <c r="J20" s="24">
        <f t="shared" si="4"/>
        <v>6006858.7927446328</v>
      </c>
      <c r="K20" s="27">
        <f t="shared" si="6"/>
        <v>6006858.7927446328</v>
      </c>
    </row>
    <row r="21" spans="1:15" x14ac:dyDescent="0.25">
      <c r="A21" s="26">
        <v>42948</v>
      </c>
      <c r="B21" s="19">
        <v>31</v>
      </c>
      <c r="C21" s="25">
        <f t="shared" si="5"/>
        <v>6006858.7927446328</v>
      </c>
      <c r="D21" s="25">
        <f t="shared" si="0"/>
        <v>1571135.4005823804</v>
      </c>
      <c r="E21" s="25">
        <f>'Dados de demanda e evaporação'!$D$14</f>
        <v>9.9199999999999997E-2</v>
      </c>
      <c r="F21" s="25">
        <f t="shared" si="1"/>
        <v>155856.63173777211</v>
      </c>
      <c r="G21" s="25">
        <f t="shared" si="2"/>
        <v>5851002.1610068604</v>
      </c>
      <c r="H21" s="25">
        <f>'Dados de demanda e evaporação'!$B$7</f>
        <v>0.6</v>
      </c>
      <c r="I21" s="25">
        <f t="shared" si="3"/>
        <v>1607039.9999999998</v>
      </c>
      <c r="J21" s="25">
        <f t="shared" si="4"/>
        <v>4243962.1610068604</v>
      </c>
      <c r="K21" s="25">
        <f t="shared" si="6"/>
        <v>4243962.1610068604</v>
      </c>
    </row>
    <row r="22" spans="1:15" x14ac:dyDescent="0.25">
      <c r="A22" s="26">
        <v>42979</v>
      </c>
      <c r="B22" s="18">
        <v>30</v>
      </c>
      <c r="C22" s="24">
        <f t="shared" si="5"/>
        <v>4243962.1610068604</v>
      </c>
      <c r="D22" s="24">
        <f t="shared" si="0"/>
        <v>1225440.0469295755</v>
      </c>
      <c r="E22" s="24">
        <f>'Dados de demanda e evaporação'!$D$15</f>
        <v>0.126</v>
      </c>
      <c r="F22" s="24">
        <f t="shared" si="1"/>
        <v>154405.44591312652</v>
      </c>
      <c r="G22" s="24">
        <f t="shared" si="2"/>
        <v>4089556.7150937337</v>
      </c>
      <c r="H22" s="24">
        <f>'Dados de demanda e evaporação'!$B$7</f>
        <v>0.6</v>
      </c>
      <c r="I22" s="24">
        <f t="shared" si="3"/>
        <v>1555200</v>
      </c>
      <c r="J22" s="24">
        <f t="shared" si="4"/>
        <v>2534356.7150937337</v>
      </c>
      <c r="K22" s="27">
        <f t="shared" si="6"/>
        <v>2534356.7150937337</v>
      </c>
    </row>
    <row r="23" spans="1:15" x14ac:dyDescent="0.25">
      <c r="A23" s="26">
        <v>43009</v>
      </c>
      <c r="B23" s="19">
        <v>31</v>
      </c>
      <c r="C23" s="25">
        <f t="shared" si="5"/>
        <v>2534356.7150937337</v>
      </c>
      <c r="D23" s="25">
        <f t="shared" si="0"/>
        <v>847488.29537488078</v>
      </c>
      <c r="E23" s="25">
        <f>'Dados de demanda e evaporação'!$D$16</f>
        <v>0.15190000000000001</v>
      </c>
      <c r="F23" s="25">
        <f t="shared" si="1"/>
        <v>128733.4720674444</v>
      </c>
      <c r="G23" s="25">
        <f t="shared" si="2"/>
        <v>2405623.2430262892</v>
      </c>
      <c r="H23" s="25">
        <f>'Dados de demanda e evaporação'!$B$7</f>
        <v>0.6</v>
      </c>
      <c r="I23" s="25">
        <f t="shared" si="3"/>
        <v>1607039.9999999998</v>
      </c>
      <c r="J23" s="25">
        <f t="shared" si="4"/>
        <v>798583.24302628939</v>
      </c>
      <c r="K23" s="25">
        <f t="shared" si="6"/>
        <v>798583.24302628939</v>
      </c>
    </row>
    <row r="24" spans="1:15" x14ac:dyDescent="0.25">
      <c r="A24" s="32">
        <v>43040</v>
      </c>
      <c r="B24" s="28">
        <v>30</v>
      </c>
      <c r="C24" s="29">
        <f t="shared" si="5"/>
        <v>798583.24302628939</v>
      </c>
      <c r="D24" s="29">
        <f t="shared" si="0"/>
        <v>371002.42360739253</v>
      </c>
      <c r="E24" s="29">
        <f>'Dados de demanda e evaporação'!$D$17</f>
        <v>0.156</v>
      </c>
      <c r="F24" s="29">
        <f t="shared" si="1"/>
        <v>57876.378082753232</v>
      </c>
      <c r="G24" s="29">
        <f t="shared" si="2"/>
        <v>740706.86494353611</v>
      </c>
      <c r="H24" s="29">
        <f>'Dados de demanda e evaporação'!$B$7</f>
        <v>0.6</v>
      </c>
      <c r="I24" s="29">
        <f t="shared" si="3"/>
        <v>1555200</v>
      </c>
      <c r="J24" s="29">
        <f t="shared" si="4"/>
        <v>-814493.13505646389</v>
      </c>
      <c r="K24" s="29">
        <f t="shared" si="6"/>
        <v>-814493.13505646389</v>
      </c>
      <c r="L24" s="74" t="s">
        <v>45</v>
      </c>
      <c r="M24" s="74"/>
      <c r="N24" s="74"/>
      <c r="O24" s="74"/>
    </row>
    <row r="25" spans="1:15" x14ac:dyDescent="0.25">
      <c r="A25" s="26">
        <v>43070</v>
      </c>
      <c r="B25" s="19">
        <v>31</v>
      </c>
      <c r="C25" s="25">
        <f t="shared" si="5"/>
        <v>-814493.13505646389</v>
      </c>
      <c r="D25" s="25" t="e">
        <f t="shared" si="0"/>
        <v>#NUM!</v>
      </c>
      <c r="E25" s="25">
        <f>'Dados de demanda e evaporação'!$D$18</f>
        <v>0.16119999999999998</v>
      </c>
      <c r="F25" s="25" t="e">
        <f t="shared" si="1"/>
        <v>#NUM!</v>
      </c>
      <c r="G25" s="25" t="e">
        <f t="shared" si="2"/>
        <v>#NUM!</v>
      </c>
      <c r="H25" s="25">
        <f>'Dados de demanda e evaporação'!$B$7</f>
        <v>0.6</v>
      </c>
      <c r="I25" s="25">
        <f t="shared" si="3"/>
        <v>1607039.9999999998</v>
      </c>
      <c r="J25" s="25" t="e">
        <f t="shared" si="4"/>
        <v>#NUM!</v>
      </c>
      <c r="K25" s="25" t="e">
        <f t="shared" si="6"/>
        <v>#NUM!</v>
      </c>
      <c r="L25" s="74"/>
      <c r="M25" s="74"/>
      <c r="N25" s="74"/>
      <c r="O25" s="74"/>
    </row>
    <row r="26" spans="1:15" x14ac:dyDescent="0.25">
      <c r="A26" s="26">
        <v>43101</v>
      </c>
      <c r="B26" s="18">
        <v>31</v>
      </c>
      <c r="C26" s="24" t="e">
        <f t="shared" si="5"/>
        <v>#NUM!</v>
      </c>
      <c r="D26" s="24" t="e">
        <f t="shared" si="0"/>
        <v>#NUM!</v>
      </c>
      <c r="E26" s="24">
        <f>'Dados de demanda e evaporação'!$D$7</f>
        <v>0.16119999999999998</v>
      </c>
      <c r="F26" s="24" t="e">
        <f t="shared" si="1"/>
        <v>#NUM!</v>
      </c>
      <c r="G26" s="24" t="e">
        <f t="shared" si="2"/>
        <v>#NUM!</v>
      </c>
      <c r="H26" s="24">
        <f>'Dados de demanda e evaporação'!$B$7</f>
        <v>0.6</v>
      </c>
      <c r="I26" s="24">
        <f t="shared" si="3"/>
        <v>1607039.9999999998</v>
      </c>
      <c r="J26" s="24" t="e">
        <f t="shared" si="4"/>
        <v>#NUM!</v>
      </c>
      <c r="K26" s="24" t="e">
        <f t="shared" si="6"/>
        <v>#NUM!</v>
      </c>
      <c r="L26" s="74"/>
      <c r="M26" s="74"/>
      <c r="N26" s="74"/>
      <c r="O26" s="74"/>
    </row>
    <row r="27" spans="1:15" x14ac:dyDescent="0.25">
      <c r="A27" s="26">
        <v>43132</v>
      </c>
      <c r="B27" s="19">
        <v>28</v>
      </c>
      <c r="C27" s="25" t="e">
        <f t="shared" si="5"/>
        <v>#NUM!</v>
      </c>
      <c r="D27" s="25" t="e">
        <f t="shared" si="0"/>
        <v>#NUM!</v>
      </c>
      <c r="E27" s="25">
        <f>'Dados de demanda e evaporação'!$D$8</f>
        <v>0.14280000000000001</v>
      </c>
      <c r="F27" s="25" t="e">
        <f t="shared" si="1"/>
        <v>#NUM!</v>
      </c>
      <c r="G27" s="25" t="e">
        <f t="shared" si="2"/>
        <v>#NUM!</v>
      </c>
      <c r="H27" s="25">
        <f>'Dados de demanda e evaporação'!$B$7</f>
        <v>0.6</v>
      </c>
      <c r="I27" s="25">
        <f t="shared" si="3"/>
        <v>1451520</v>
      </c>
      <c r="J27" s="25" t="e">
        <f t="shared" si="4"/>
        <v>#NUM!</v>
      </c>
      <c r="K27" s="25" t="e">
        <f t="shared" si="6"/>
        <v>#NUM!</v>
      </c>
    </row>
    <row r="28" spans="1:15" x14ac:dyDescent="0.25">
      <c r="A28" s="26">
        <v>43160</v>
      </c>
      <c r="B28" s="18">
        <v>31</v>
      </c>
      <c r="C28" s="24" t="e">
        <f t="shared" si="5"/>
        <v>#NUM!</v>
      </c>
      <c r="D28" s="24" t="e">
        <f t="shared" si="0"/>
        <v>#NUM!</v>
      </c>
      <c r="E28" s="24">
        <f>'Dados de demanda e evaporação'!$D$9</f>
        <v>0.13950000000000001</v>
      </c>
      <c r="F28" s="24" t="e">
        <f t="shared" si="1"/>
        <v>#NUM!</v>
      </c>
      <c r="G28" s="24" t="e">
        <f t="shared" si="2"/>
        <v>#NUM!</v>
      </c>
      <c r="H28" s="24">
        <f>'Dados de demanda e evaporação'!$B$7</f>
        <v>0.6</v>
      </c>
      <c r="I28" s="24">
        <f t="shared" si="3"/>
        <v>1607039.9999999998</v>
      </c>
      <c r="J28" s="24" t="e">
        <f t="shared" si="4"/>
        <v>#NUM!</v>
      </c>
      <c r="K28" s="27" t="e">
        <f t="shared" si="6"/>
        <v>#NUM!</v>
      </c>
    </row>
    <row r="29" spans="1:15" x14ac:dyDescent="0.25">
      <c r="A29" s="26">
        <v>43191</v>
      </c>
      <c r="B29" s="19">
        <v>30</v>
      </c>
      <c r="C29" s="25" t="e">
        <f t="shared" si="5"/>
        <v>#NUM!</v>
      </c>
      <c r="D29" s="25" t="e">
        <f t="shared" si="0"/>
        <v>#NUM!</v>
      </c>
      <c r="E29" s="25">
        <f>'Dados de demanda e evaporação'!$D$10</f>
        <v>0.114</v>
      </c>
      <c r="F29" s="25" t="e">
        <f t="shared" si="1"/>
        <v>#NUM!</v>
      </c>
      <c r="G29" s="25" t="e">
        <f t="shared" si="2"/>
        <v>#NUM!</v>
      </c>
      <c r="H29" s="25">
        <f>'Dados de demanda e evaporação'!$B$7</f>
        <v>0.6</v>
      </c>
      <c r="I29" s="25">
        <f t="shared" si="3"/>
        <v>1555200</v>
      </c>
      <c r="J29" s="25" t="e">
        <f t="shared" si="4"/>
        <v>#NUM!</v>
      </c>
      <c r="K29" s="25" t="e">
        <f t="shared" si="6"/>
        <v>#NUM!</v>
      </c>
    </row>
    <row r="30" spans="1:15" x14ac:dyDescent="0.25">
      <c r="A30" s="26">
        <v>43221</v>
      </c>
      <c r="B30" s="18">
        <v>31</v>
      </c>
      <c r="C30" s="24" t="e">
        <f t="shared" si="5"/>
        <v>#NUM!</v>
      </c>
      <c r="D30" s="24" t="e">
        <f t="shared" si="0"/>
        <v>#NUM!</v>
      </c>
      <c r="E30" s="24">
        <f>'Dados de demanda e evaporação'!$D$11</f>
        <v>8.9900000000000008E-2</v>
      </c>
      <c r="F30" s="24" t="e">
        <f t="shared" si="1"/>
        <v>#NUM!</v>
      </c>
      <c r="G30" s="24" t="e">
        <f t="shared" si="2"/>
        <v>#NUM!</v>
      </c>
      <c r="H30" s="24">
        <f>'Dados de demanda e evaporação'!$B$7</f>
        <v>0.6</v>
      </c>
      <c r="I30" s="24">
        <f t="shared" si="3"/>
        <v>1607039.9999999998</v>
      </c>
      <c r="J30" s="24" t="e">
        <f t="shared" si="4"/>
        <v>#NUM!</v>
      </c>
      <c r="K30" s="27" t="e">
        <f t="shared" si="6"/>
        <v>#NUM!</v>
      </c>
    </row>
    <row r="31" spans="1:15" x14ac:dyDescent="0.25">
      <c r="A31" s="26">
        <v>43252</v>
      </c>
      <c r="B31" s="19">
        <v>30</v>
      </c>
      <c r="C31" s="25" t="e">
        <f t="shared" si="5"/>
        <v>#NUM!</v>
      </c>
      <c r="D31" s="25" t="e">
        <f t="shared" si="0"/>
        <v>#NUM!</v>
      </c>
      <c r="E31" s="25">
        <f>'Dados de demanda e evaporação'!$D$12</f>
        <v>7.4999999999999997E-2</v>
      </c>
      <c r="F31" s="25" t="e">
        <f t="shared" si="1"/>
        <v>#NUM!</v>
      </c>
      <c r="G31" s="25" t="e">
        <f t="shared" si="2"/>
        <v>#NUM!</v>
      </c>
      <c r="H31" s="25">
        <f>'Dados de demanda e evaporação'!$B$7</f>
        <v>0.6</v>
      </c>
      <c r="I31" s="25">
        <f t="shared" si="3"/>
        <v>1555200</v>
      </c>
      <c r="J31" s="25" t="e">
        <f t="shared" si="4"/>
        <v>#NUM!</v>
      </c>
      <c r="K31" s="25" t="e">
        <f t="shared" si="6"/>
        <v>#NUM!</v>
      </c>
    </row>
    <row r="32" spans="1:15" x14ac:dyDescent="0.25">
      <c r="A32" s="26">
        <v>43282</v>
      </c>
      <c r="B32" s="18">
        <v>31</v>
      </c>
      <c r="C32" s="24" t="e">
        <f t="shared" si="5"/>
        <v>#NUM!</v>
      </c>
      <c r="D32" s="24" t="e">
        <f t="shared" si="0"/>
        <v>#NUM!</v>
      </c>
      <c r="E32" s="24">
        <f>'Dados de demanda e evaporação'!$D$13</f>
        <v>8.0599999999999991E-2</v>
      </c>
      <c r="F32" s="24" t="e">
        <f t="shared" si="1"/>
        <v>#NUM!</v>
      </c>
      <c r="G32" s="24" t="e">
        <f t="shared" si="2"/>
        <v>#NUM!</v>
      </c>
      <c r="H32" s="24">
        <f>'Dados de demanda e evaporação'!$B$7</f>
        <v>0.6</v>
      </c>
      <c r="I32" s="24">
        <f t="shared" si="3"/>
        <v>1607039.9999999998</v>
      </c>
      <c r="J32" s="24" t="e">
        <f t="shared" si="4"/>
        <v>#NUM!</v>
      </c>
      <c r="K32" s="27" t="e">
        <f t="shared" si="6"/>
        <v>#NUM!</v>
      </c>
    </row>
    <row r="33" spans="1:11" x14ac:dyDescent="0.25">
      <c r="A33" s="26">
        <v>43313</v>
      </c>
      <c r="B33" s="19">
        <v>31</v>
      </c>
      <c r="C33" s="25" t="e">
        <f t="shared" si="5"/>
        <v>#NUM!</v>
      </c>
      <c r="D33" s="25" t="e">
        <f t="shared" si="0"/>
        <v>#NUM!</v>
      </c>
      <c r="E33" s="25">
        <f>'Dados de demanda e evaporação'!$D$14</f>
        <v>9.9199999999999997E-2</v>
      </c>
      <c r="F33" s="25" t="e">
        <f t="shared" si="1"/>
        <v>#NUM!</v>
      </c>
      <c r="G33" s="25" t="e">
        <f t="shared" si="2"/>
        <v>#NUM!</v>
      </c>
      <c r="H33" s="25">
        <f>'Dados de demanda e evaporação'!$B$7</f>
        <v>0.6</v>
      </c>
      <c r="I33" s="25">
        <f t="shared" si="3"/>
        <v>1607039.9999999998</v>
      </c>
      <c r="J33" s="25" t="e">
        <f t="shared" si="4"/>
        <v>#NUM!</v>
      </c>
      <c r="K33" s="25" t="e">
        <f t="shared" si="6"/>
        <v>#NUM!</v>
      </c>
    </row>
    <row r="34" spans="1:11" x14ac:dyDescent="0.25">
      <c r="A34" s="26">
        <v>43344</v>
      </c>
      <c r="B34" s="18">
        <v>30</v>
      </c>
      <c r="C34" s="24" t="e">
        <f t="shared" si="5"/>
        <v>#NUM!</v>
      </c>
      <c r="D34" s="24" t="e">
        <f t="shared" si="0"/>
        <v>#NUM!</v>
      </c>
      <c r="E34" s="24">
        <f>'Dados de demanda e evaporação'!$D$15</f>
        <v>0.126</v>
      </c>
      <c r="F34" s="24" t="e">
        <f t="shared" si="1"/>
        <v>#NUM!</v>
      </c>
      <c r="G34" s="24" t="e">
        <f t="shared" si="2"/>
        <v>#NUM!</v>
      </c>
      <c r="H34" s="24">
        <f>'Dados de demanda e evaporação'!$B$7</f>
        <v>0.6</v>
      </c>
      <c r="I34" s="24">
        <f t="shared" si="3"/>
        <v>1555200</v>
      </c>
      <c r="J34" s="24" t="e">
        <f t="shared" si="4"/>
        <v>#NUM!</v>
      </c>
      <c r="K34" s="27" t="e">
        <f t="shared" si="6"/>
        <v>#NUM!</v>
      </c>
    </row>
    <row r="35" spans="1:11" x14ac:dyDescent="0.25">
      <c r="A35" s="26">
        <v>43374</v>
      </c>
      <c r="B35" s="19">
        <v>31</v>
      </c>
      <c r="C35" s="25" t="e">
        <f t="shared" si="5"/>
        <v>#NUM!</v>
      </c>
      <c r="D35" s="25" t="e">
        <f t="shared" si="0"/>
        <v>#NUM!</v>
      </c>
      <c r="E35" s="25">
        <f>'Dados de demanda e evaporação'!$D$16</f>
        <v>0.15190000000000001</v>
      </c>
      <c r="F35" s="25" t="e">
        <f t="shared" si="1"/>
        <v>#NUM!</v>
      </c>
      <c r="G35" s="25" t="e">
        <f t="shared" si="2"/>
        <v>#NUM!</v>
      </c>
      <c r="H35" s="25">
        <f>'Dados de demanda e evaporação'!$B$7</f>
        <v>0.6</v>
      </c>
      <c r="I35" s="25">
        <f t="shared" si="3"/>
        <v>1607039.9999999998</v>
      </c>
      <c r="J35" s="25" t="e">
        <f t="shared" si="4"/>
        <v>#NUM!</v>
      </c>
      <c r="K35" s="25" t="e">
        <f t="shared" si="6"/>
        <v>#NUM!</v>
      </c>
    </row>
    <row r="36" spans="1:11" x14ac:dyDescent="0.25">
      <c r="A36" s="26">
        <v>43405</v>
      </c>
      <c r="B36" s="18">
        <v>30</v>
      </c>
      <c r="C36" s="24" t="e">
        <f t="shared" si="5"/>
        <v>#NUM!</v>
      </c>
      <c r="D36" s="24" t="e">
        <f t="shared" si="0"/>
        <v>#NUM!</v>
      </c>
      <c r="E36" s="24">
        <f>'Dados de demanda e evaporação'!$D$17</f>
        <v>0.156</v>
      </c>
      <c r="F36" s="24" t="e">
        <f t="shared" si="1"/>
        <v>#NUM!</v>
      </c>
      <c r="G36" s="24" t="e">
        <f t="shared" si="2"/>
        <v>#NUM!</v>
      </c>
      <c r="H36" s="24">
        <f>'Dados de demanda e evaporação'!$B$7</f>
        <v>0.6</v>
      </c>
      <c r="I36" s="24">
        <f t="shared" si="3"/>
        <v>1555200</v>
      </c>
      <c r="J36" s="24" t="e">
        <f t="shared" si="4"/>
        <v>#NUM!</v>
      </c>
      <c r="K36" s="27" t="e">
        <f t="shared" si="6"/>
        <v>#NUM!</v>
      </c>
    </row>
    <row r="37" spans="1:11" x14ac:dyDescent="0.25">
      <c r="A37" s="26">
        <v>43435</v>
      </c>
      <c r="B37" s="19">
        <v>31</v>
      </c>
      <c r="C37" s="25" t="e">
        <f t="shared" si="5"/>
        <v>#NUM!</v>
      </c>
      <c r="D37" s="25" t="e">
        <f t="shared" si="0"/>
        <v>#NUM!</v>
      </c>
      <c r="E37" s="25">
        <f>'Dados de demanda e evaporação'!$D$18</f>
        <v>0.16119999999999998</v>
      </c>
      <c r="F37" s="25" t="e">
        <f t="shared" si="1"/>
        <v>#NUM!</v>
      </c>
      <c r="G37" s="25" t="e">
        <f t="shared" si="2"/>
        <v>#NUM!</v>
      </c>
      <c r="H37" s="25">
        <f>'Dados de demanda e evaporação'!$B$7</f>
        <v>0.6</v>
      </c>
      <c r="I37" s="25">
        <f t="shared" si="3"/>
        <v>1607039.9999999998</v>
      </c>
      <c r="J37" s="25" t="e">
        <f t="shared" si="4"/>
        <v>#NUM!</v>
      </c>
      <c r="K37" s="25" t="e">
        <f t="shared" si="6"/>
        <v>#NUM!</v>
      </c>
    </row>
    <row r="38" spans="1:11" x14ac:dyDescent="0.25">
      <c r="A38" s="26">
        <v>43466</v>
      </c>
      <c r="B38" s="18">
        <v>31</v>
      </c>
      <c r="C38" s="24" t="e">
        <f t="shared" si="5"/>
        <v>#NUM!</v>
      </c>
      <c r="D38" s="24" t="e">
        <f t="shared" si="0"/>
        <v>#NUM!</v>
      </c>
      <c r="E38" s="24">
        <f>'Dados de demanda e evaporação'!$D$7</f>
        <v>0.16119999999999998</v>
      </c>
      <c r="F38" s="24" t="e">
        <f t="shared" si="1"/>
        <v>#NUM!</v>
      </c>
      <c r="G38" s="24" t="e">
        <f t="shared" si="2"/>
        <v>#NUM!</v>
      </c>
      <c r="H38" s="24">
        <f>'Dados de demanda e evaporação'!$B$7</f>
        <v>0.6</v>
      </c>
      <c r="I38" s="24">
        <f t="shared" si="3"/>
        <v>1607039.9999999998</v>
      </c>
      <c r="J38" s="24" t="e">
        <f t="shared" si="4"/>
        <v>#NUM!</v>
      </c>
      <c r="K38" s="27" t="e">
        <f t="shared" si="6"/>
        <v>#NUM!</v>
      </c>
    </row>
    <row r="39" spans="1:11" x14ac:dyDescent="0.25">
      <c r="A39" s="26">
        <v>43497</v>
      </c>
      <c r="B39" s="19">
        <v>28</v>
      </c>
      <c r="C39" s="25" t="e">
        <f t="shared" si="5"/>
        <v>#NUM!</v>
      </c>
      <c r="D39" s="25" t="e">
        <f t="shared" si="0"/>
        <v>#NUM!</v>
      </c>
      <c r="E39" s="25">
        <f>'Dados de demanda e evaporação'!$D$8</f>
        <v>0.14280000000000001</v>
      </c>
      <c r="F39" s="25" t="e">
        <f t="shared" si="1"/>
        <v>#NUM!</v>
      </c>
      <c r="G39" s="25" t="e">
        <f t="shared" si="2"/>
        <v>#NUM!</v>
      </c>
      <c r="H39" s="25">
        <f>'Dados de demanda e evaporação'!$B$7</f>
        <v>0.6</v>
      </c>
      <c r="I39" s="25">
        <f t="shared" si="3"/>
        <v>1451520</v>
      </c>
      <c r="J39" s="25" t="e">
        <f t="shared" si="4"/>
        <v>#NUM!</v>
      </c>
      <c r="K39" s="25" t="e">
        <f t="shared" si="6"/>
        <v>#NUM!</v>
      </c>
    </row>
    <row r="40" spans="1:11" x14ac:dyDescent="0.25">
      <c r="A40" s="26">
        <v>43525</v>
      </c>
      <c r="B40" s="18">
        <v>31</v>
      </c>
      <c r="C40" s="24" t="e">
        <f t="shared" si="5"/>
        <v>#NUM!</v>
      </c>
      <c r="D40" s="24" t="e">
        <f t="shared" si="0"/>
        <v>#NUM!</v>
      </c>
      <c r="E40" s="24">
        <f>'Dados de demanda e evaporação'!$D$9</f>
        <v>0.13950000000000001</v>
      </c>
      <c r="F40" s="24" t="e">
        <f t="shared" si="1"/>
        <v>#NUM!</v>
      </c>
      <c r="G40" s="24" t="e">
        <f t="shared" si="2"/>
        <v>#NUM!</v>
      </c>
      <c r="H40" s="24">
        <f>'Dados de demanda e evaporação'!$B$7</f>
        <v>0.6</v>
      </c>
      <c r="I40" s="24">
        <f t="shared" si="3"/>
        <v>1607039.9999999998</v>
      </c>
      <c r="J40" s="24" t="e">
        <f t="shared" si="4"/>
        <v>#NUM!</v>
      </c>
      <c r="K40" s="27" t="e">
        <f t="shared" si="6"/>
        <v>#NUM!</v>
      </c>
    </row>
    <row r="41" spans="1:11" x14ac:dyDescent="0.25">
      <c r="A41" s="26">
        <v>43556</v>
      </c>
      <c r="B41" s="19">
        <v>30</v>
      </c>
      <c r="C41" s="25" t="e">
        <f t="shared" si="5"/>
        <v>#NUM!</v>
      </c>
      <c r="D41" s="25" t="e">
        <f t="shared" si="0"/>
        <v>#NUM!</v>
      </c>
      <c r="E41" s="25">
        <f>'Dados de demanda e evaporação'!$D$10</f>
        <v>0.114</v>
      </c>
      <c r="F41" s="25" t="e">
        <f t="shared" si="1"/>
        <v>#NUM!</v>
      </c>
      <c r="G41" s="25" t="e">
        <f t="shared" si="2"/>
        <v>#NUM!</v>
      </c>
      <c r="H41" s="25">
        <f>'Dados de demanda e evaporação'!$B$7</f>
        <v>0.6</v>
      </c>
      <c r="I41" s="25">
        <f t="shared" si="3"/>
        <v>1555200</v>
      </c>
      <c r="J41" s="25" t="e">
        <f t="shared" si="4"/>
        <v>#NUM!</v>
      </c>
      <c r="K41" s="25" t="e">
        <f t="shared" si="6"/>
        <v>#NUM!</v>
      </c>
    </row>
    <row r="42" spans="1:11" x14ac:dyDescent="0.25">
      <c r="A42" s="26">
        <v>43586</v>
      </c>
      <c r="B42" s="18">
        <v>31</v>
      </c>
      <c r="C42" s="24" t="e">
        <f t="shared" si="5"/>
        <v>#NUM!</v>
      </c>
      <c r="D42" s="24" t="e">
        <f t="shared" si="0"/>
        <v>#NUM!</v>
      </c>
      <c r="E42" s="24">
        <f>'Dados de demanda e evaporação'!$D$11</f>
        <v>8.9900000000000008E-2</v>
      </c>
      <c r="F42" s="24" t="e">
        <f t="shared" si="1"/>
        <v>#NUM!</v>
      </c>
      <c r="G42" s="24" t="e">
        <f t="shared" si="2"/>
        <v>#NUM!</v>
      </c>
      <c r="H42" s="24">
        <f>'Dados de demanda e evaporação'!$B$7</f>
        <v>0.6</v>
      </c>
      <c r="I42" s="24">
        <f t="shared" si="3"/>
        <v>1607039.9999999998</v>
      </c>
      <c r="J42" s="24" t="e">
        <f t="shared" si="4"/>
        <v>#NUM!</v>
      </c>
      <c r="K42" s="27" t="e">
        <f t="shared" si="6"/>
        <v>#NUM!</v>
      </c>
    </row>
    <row r="43" spans="1:11" x14ac:dyDescent="0.25">
      <c r="A43" s="26">
        <v>43617</v>
      </c>
      <c r="B43" s="19">
        <v>30</v>
      </c>
      <c r="C43" s="25" t="e">
        <f t="shared" si="5"/>
        <v>#NUM!</v>
      </c>
      <c r="D43" s="25" t="e">
        <f t="shared" si="0"/>
        <v>#NUM!</v>
      </c>
      <c r="E43" s="25">
        <f>'Dados de demanda e evaporação'!$D$12</f>
        <v>7.4999999999999997E-2</v>
      </c>
      <c r="F43" s="25" t="e">
        <f t="shared" si="1"/>
        <v>#NUM!</v>
      </c>
      <c r="G43" s="25" t="e">
        <f t="shared" si="2"/>
        <v>#NUM!</v>
      </c>
      <c r="H43" s="25">
        <f>'Dados de demanda e evaporação'!$B$7</f>
        <v>0.6</v>
      </c>
      <c r="I43" s="25">
        <f t="shared" si="3"/>
        <v>1555200</v>
      </c>
      <c r="J43" s="25" t="e">
        <f t="shared" si="4"/>
        <v>#NUM!</v>
      </c>
      <c r="K43" s="25" t="e">
        <f t="shared" si="6"/>
        <v>#NUM!</v>
      </c>
    </row>
    <row r="44" spans="1:11" x14ac:dyDescent="0.25">
      <c r="A44" s="26">
        <v>43647</v>
      </c>
      <c r="B44" s="18">
        <v>31</v>
      </c>
      <c r="C44" s="24" t="e">
        <f t="shared" si="5"/>
        <v>#NUM!</v>
      </c>
      <c r="D44" s="24" t="e">
        <f t="shared" si="0"/>
        <v>#NUM!</v>
      </c>
      <c r="E44" s="24">
        <f>'Dados de demanda e evaporação'!$D$13</f>
        <v>8.0599999999999991E-2</v>
      </c>
      <c r="F44" s="24" t="e">
        <f t="shared" si="1"/>
        <v>#NUM!</v>
      </c>
      <c r="G44" s="24" t="e">
        <f t="shared" si="2"/>
        <v>#NUM!</v>
      </c>
      <c r="H44" s="24">
        <f>'Dados de demanda e evaporação'!$B$7</f>
        <v>0.6</v>
      </c>
      <c r="I44" s="24">
        <f t="shared" si="3"/>
        <v>1607039.9999999998</v>
      </c>
      <c r="J44" s="24" t="e">
        <f t="shared" si="4"/>
        <v>#NUM!</v>
      </c>
      <c r="K44" s="27" t="e">
        <f t="shared" si="6"/>
        <v>#NUM!</v>
      </c>
    </row>
    <row r="45" spans="1:11" x14ac:dyDescent="0.25">
      <c r="A45" s="26">
        <v>43678</v>
      </c>
      <c r="B45" s="19">
        <v>31</v>
      </c>
      <c r="C45" s="25" t="e">
        <f t="shared" si="5"/>
        <v>#NUM!</v>
      </c>
      <c r="D45" s="25" t="e">
        <f t="shared" si="0"/>
        <v>#NUM!</v>
      </c>
      <c r="E45" s="25">
        <f>'Dados de demanda e evaporação'!$D$14</f>
        <v>9.9199999999999997E-2</v>
      </c>
      <c r="F45" s="25" t="e">
        <f t="shared" si="1"/>
        <v>#NUM!</v>
      </c>
      <c r="G45" s="25" t="e">
        <f t="shared" si="2"/>
        <v>#NUM!</v>
      </c>
      <c r="H45" s="25">
        <f>'Dados de demanda e evaporação'!$B$7</f>
        <v>0.6</v>
      </c>
      <c r="I45" s="25">
        <f t="shared" si="3"/>
        <v>1607039.9999999998</v>
      </c>
      <c r="J45" s="25" t="e">
        <f t="shared" si="4"/>
        <v>#NUM!</v>
      </c>
      <c r="K45" s="25" t="e">
        <f t="shared" si="6"/>
        <v>#NUM!</v>
      </c>
    </row>
    <row r="46" spans="1:11" x14ac:dyDescent="0.25">
      <c r="A46" s="26">
        <v>43709</v>
      </c>
      <c r="B46" s="18">
        <v>30</v>
      </c>
      <c r="C46" s="24" t="e">
        <f t="shared" si="5"/>
        <v>#NUM!</v>
      </c>
      <c r="D46" s="24" t="e">
        <f t="shared" si="0"/>
        <v>#NUM!</v>
      </c>
      <c r="E46" s="24">
        <f>'Dados de demanda e evaporação'!$D$15</f>
        <v>0.126</v>
      </c>
      <c r="F46" s="24" t="e">
        <f t="shared" si="1"/>
        <v>#NUM!</v>
      </c>
      <c r="G46" s="24" t="e">
        <f t="shared" si="2"/>
        <v>#NUM!</v>
      </c>
      <c r="H46" s="24">
        <f>'Dados de demanda e evaporação'!$B$7</f>
        <v>0.6</v>
      </c>
      <c r="I46" s="24">
        <f t="shared" si="3"/>
        <v>1555200</v>
      </c>
      <c r="J46" s="24" t="e">
        <f t="shared" si="4"/>
        <v>#NUM!</v>
      </c>
      <c r="K46" s="27" t="e">
        <f t="shared" si="6"/>
        <v>#NUM!</v>
      </c>
    </row>
    <row r="47" spans="1:11" x14ac:dyDescent="0.25">
      <c r="A47" s="26">
        <v>43739</v>
      </c>
      <c r="B47" s="19">
        <v>31</v>
      </c>
      <c r="C47" s="25" t="e">
        <f t="shared" si="5"/>
        <v>#NUM!</v>
      </c>
      <c r="D47" s="25" t="e">
        <f t="shared" si="0"/>
        <v>#NUM!</v>
      </c>
      <c r="E47" s="25">
        <f>'Dados de demanda e evaporação'!$D$16</f>
        <v>0.15190000000000001</v>
      </c>
      <c r="F47" s="25" t="e">
        <f t="shared" si="1"/>
        <v>#NUM!</v>
      </c>
      <c r="G47" s="25" t="e">
        <f t="shared" si="2"/>
        <v>#NUM!</v>
      </c>
      <c r="H47" s="25">
        <f>'Dados de demanda e evaporação'!$B$7</f>
        <v>0.6</v>
      </c>
      <c r="I47" s="25">
        <f t="shared" si="3"/>
        <v>1607039.9999999998</v>
      </c>
      <c r="J47" s="25" t="e">
        <f t="shared" si="4"/>
        <v>#NUM!</v>
      </c>
      <c r="K47" s="25" t="e">
        <f t="shared" si="6"/>
        <v>#NUM!</v>
      </c>
    </row>
    <row r="48" spans="1:11" x14ac:dyDescent="0.25">
      <c r="A48" s="26">
        <v>43770</v>
      </c>
      <c r="B48" s="18">
        <v>30</v>
      </c>
      <c r="C48" s="24" t="e">
        <f t="shared" si="5"/>
        <v>#NUM!</v>
      </c>
      <c r="D48" s="24" t="e">
        <f t="shared" si="0"/>
        <v>#NUM!</v>
      </c>
      <c r="E48" s="24">
        <f>'Dados de demanda e evaporação'!$D$17</f>
        <v>0.156</v>
      </c>
      <c r="F48" s="24" t="e">
        <f t="shared" si="1"/>
        <v>#NUM!</v>
      </c>
      <c r="G48" s="24" t="e">
        <f t="shared" si="2"/>
        <v>#NUM!</v>
      </c>
      <c r="H48" s="24">
        <f>'Dados de demanda e evaporação'!$B$7</f>
        <v>0.6</v>
      </c>
      <c r="I48" s="24">
        <f t="shared" ref="I48:I70" si="7">H48*B48*(3600*24)</f>
        <v>1555200</v>
      </c>
      <c r="J48" s="24" t="e">
        <f t="shared" si="4"/>
        <v>#NUM!</v>
      </c>
      <c r="K48" s="27" t="e">
        <f t="shared" si="6"/>
        <v>#NUM!</v>
      </c>
    </row>
    <row r="49" spans="1:11" x14ac:dyDescent="0.25">
      <c r="A49" s="26">
        <v>43800</v>
      </c>
      <c r="B49" s="19">
        <v>31</v>
      </c>
      <c r="C49" s="25" t="e">
        <f t="shared" si="5"/>
        <v>#NUM!</v>
      </c>
      <c r="D49" s="25" t="e">
        <f t="shared" si="0"/>
        <v>#NUM!</v>
      </c>
      <c r="E49" s="25">
        <f>'Dados de demanda e evaporação'!$D$18</f>
        <v>0.16119999999999998</v>
      </c>
      <c r="F49" s="25" t="e">
        <f t="shared" si="1"/>
        <v>#NUM!</v>
      </c>
      <c r="G49" s="25" t="e">
        <f t="shared" si="2"/>
        <v>#NUM!</v>
      </c>
      <c r="H49" s="25">
        <f>'Dados de demanda e evaporação'!$B$7</f>
        <v>0.6</v>
      </c>
      <c r="I49" s="25">
        <f t="shared" si="7"/>
        <v>1607039.9999999998</v>
      </c>
      <c r="J49" s="25" t="e">
        <f t="shared" si="4"/>
        <v>#NUM!</v>
      </c>
      <c r="K49" s="25" t="e">
        <f t="shared" si="6"/>
        <v>#NUM!</v>
      </c>
    </row>
    <row r="50" spans="1:11" x14ac:dyDescent="0.25">
      <c r="A50" s="26">
        <v>43831</v>
      </c>
      <c r="B50" s="18">
        <v>31</v>
      </c>
      <c r="C50" s="24" t="e">
        <f t="shared" si="5"/>
        <v>#NUM!</v>
      </c>
      <c r="D50" s="24" t="e">
        <f t="shared" si="0"/>
        <v>#NUM!</v>
      </c>
      <c r="E50" s="24">
        <f>'Dados de demanda e evaporação'!$D$7</f>
        <v>0.16119999999999998</v>
      </c>
      <c r="F50" s="24" t="e">
        <f t="shared" si="1"/>
        <v>#NUM!</v>
      </c>
      <c r="G50" s="24" t="e">
        <f t="shared" si="2"/>
        <v>#NUM!</v>
      </c>
      <c r="H50" s="24">
        <f>'Dados de demanda e evaporação'!$B$7</f>
        <v>0.6</v>
      </c>
      <c r="I50" s="24">
        <f t="shared" si="7"/>
        <v>1607039.9999999998</v>
      </c>
      <c r="J50" s="24" t="e">
        <f t="shared" si="4"/>
        <v>#NUM!</v>
      </c>
      <c r="K50" s="27" t="e">
        <f t="shared" si="6"/>
        <v>#NUM!</v>
      </c>
    </row>
    <row r="51" spans="1:11" x14ac:dyDescent="0.25">
      <c r="A51" s="26">
        <v>43862</v>
      </c>
      <c r="B51" s="19">
        <v>28</v>
      </c>
      <c r="C51" s="25" t="e">
        <f t="shared" si="5"/>
        <v>#NUM!</v>
      </c>
      <c r="D51" s="25" t="e">
        <f t="shared" si="0"/>
        <v>#NUM!</v>
      </c>
      <c r="E51" s="25">
        <f>'Dados de demanda e evaporação'!$D$8</f>
        <v>0.14280000000000001</v>
      </c>
      <c r="F51" s="25" t="e">
        <f t="shared" si="1"/>
        <v>#NUM!</v>
      </c>
      <c r="G51" s="25" t="e">
        <f t="shared" si="2"/>
        <v>#NUM!</v>
      </c>
      <c r="H51" s="25">
        <f>'Dados de demanda e evaporação'!$B$7</f>
        <v>0.6</v>
      </c>
      <c r="I51" s="25">
        <f t="shared" si="7"/>
        <v>1451520</v>
      </c>
      <c r="J51" s="25" t="e">
        <f t="shared" si="4"/>
        <v>#NUM!</v>
      </c>
      <c r="K51" s="25" t="e">
        <f t="shared" si="6"/>
        <v>#NUM!</v>
      </c>
    </row>
    <row r="52" spans="1:11" x14ac:dyDescent="0.25">
      <c r="A52" s="26">
        <v>43891</v>
      </c>
      <c r="B52" s="18">
        <v>31</v>
      </c>
      <c r="C52" s="24" t="e">
        <f t="shared" si="5"/>
        <v>#NUM!</v>
      </c>
      <c r="D52" s="24" t="e">
        <f t="shared" ref="D52" si="8">22.256*C52^0.7153</f>
        <v>#NUM!</v>
      </c>
      <c r="E52" s="24">
        <f>'Dados de demanda e evaporação'!$D$9</f>
        <v>0.13950000000000001</v>
      </c>
      <c r="F52" s="24" t="e">
        <f t="shared" si="1"/>
        <v>#NUM!</v>
      </c>
      <c r="G52" s="24" t="e">
        <f t="shared" ref="G52" si="9">(C52-F52)</f>
        <v>#NUM!</v>
      </c>
      <c r="H52" s="24">
        <f>'Dados de demanda e evaporação'!$B$7</f>
        <v>0.6</v>
      </c>
      <c r="I52" s="24">
        <f t="shared" si="7"/>
        <v>1607039.9999999998</v>
      </c>
      <c r="J52" s="24" t="e">
        <f t="shared" ref="J52" si="10">G52-I52</f>
        <v>#NUM!</v>
      </c>
      <c r="K52" s="27" t="e">
        <f t="shared" ref="K52" si="11">IF(J52&lt;$D$9,J52,$D$9)</f>
        <v>#NUM!</v>
      </c>
    </row>
    <row r="53" spans="1:11" x14ac:dyDescent="0.25">
      <c r="A53" s="26">
        <v>43922</v>
      </c>
      <c r="B53" s="19">
        <v>30</v>
      </c>
      <c r="C53" s="25" t="e">
        <f t="shared" ref="C53:C64" si="12">K52</f>
        <v>#NUM!</v>
      </c>
      <c r="D53" s="25" t="e">
        <f t="shared" ref="D53:D64" si="13">22.256*C53^0.7153</f>
        <v>#NUM!</v>
      </c>
      <c r="E53" s="25">
        <f>'Dados de demanda e evaporação'!$D$10</f>
        <v>0.114</v>
      </c>
      <c r="F53" s="25" t="e">
        <f t="shared" ref="F53:F64" si="14">E53*D53</f>
        <v>#NUM!</v>
      </c>
      <c r="G53" s="25" t="e">
        <f t="shared" ref="G53:G64" si="15">(C53-F53)</f>
        <v>#NUM!</v>
      </c>
      <c r="H53" s="25">
        <f>'Dados de demanda e evaporação'!$B$7</f>
        <v>0.6</v>
      </c>
      <c r="I53" s="25">
        <f t="shared" si="7"/>
        <v>1555200</v>
      </c>
      <c r="J53" s="25" t="e">
        <f t="shared" ref="J53:J64" si="16">G53-I53</f>
        <v>#NUM!</v>
      </c>
      <c r="K53" s="25" t="e">
        <f t="shared" ref="K53:K64" si="17">IF(J53&lt;$D$9,J53,$D$9)</f>
        <v>#NUM!</v>
      </c>
    </row>
    <row r="54" spans="1:11" x14ac:dyDescent="0.25">
      <c r="A54" s="26">
        <v>43952</v>
      </c>
      <c r="B54" s="18">
        <v>31</v>
      </c>
      <c r="C54" s="24" t="e">
        <f t="shared" si="12"/>
        <v>#NUM!</v>
      </c>
      <c r="D54" s="24" t="e">
        <f t="shared" si="13"/>
        <v>#NUM!</v>
      </c>
      <c r="E54" s="24">
        <f>'Dados de demanda e evaporação'!$D$11</f>
        <v>8.9900000000000008E-2</v>
      </c>
      <c r="F54" s="24" t="e">
        <f t="shared" si="14"/>
        <v>#NUM!</v>
      </c>
      <c r="G54" s="24" t="e">
        <f t="shared" si="15"/>
        <v>#NUM!</v>
      </c>
      <c r="H54" s="24">
        <f>'Dados de demanda e evaporação'!$B$7</f>
        <v>0.6</v>
      </c>
      <c r="I54" s="24">
        <f t="shared" si="7"/>
        <v>1607039.9999999998</v>
      </c>
      <c r="J54" s="24" t="e">
        <f t="shared" si="16"/>
        <v>#NUM!</v>
      </c>
      <c r="K54" s="27" t="e">
        <f t="shared" si="17"/>
        <v>#NUM!</v>
      </c>
    </row>
    <row r="55" spans="1:11" x14ac:dyDescent="0.25">
      <c r="A55" s="26">
        <v>43983</v>
      </c>
      <c r="B55" s="19">
        <v>30</v>
      </c>
      <c r="C55" s="25" t="e">
        <f t="shared" si="12"/>
        <v>#NUM!</v>
      </c>
      <c r="D55" s="25" t="e">
        <f t="shared" si="13"/>
        <v>#NUM!</v>
      </c>
      <c r="E55" s="25">
        <f>'Dados de demanda e evaporação'!$D$12</f>
        <v>7.4999999999999997E-2</v>
      </c>
      <c r="F55" s="25" t="e">
        <f t="shared" si="14"/>
        <v>#NUM!</v>
      </c>
      <c r="G55" s="25" t="e">
        <f t="shared" si="15"/>
        <v>#NUM!</v>
      </c>
      <c r="H55" s="25">
        <f>'Dados de demanda e evaporação'!$B$7</f>
        <v>0.6</v>
      </c>
      <c r="I55" s="25">
        <f t="shared" si="7"/>
        <v>1555200</v>
      </c>
      <c r="J55" s="25" t="e">
        <f t="shared" si="16"/>
        <v>#NUM!</v>
      </c>
      <c r="K55" s="25" t="e">
        <f t="shared" si="17"/>
        <v>#NUM!</v>
      </c>
    </row>
    <row r="56" spans="1:11" x14ac:dyDescent="0.25">
      <c r="A56" s="26">
        <v>44013</v>
      </c>
      <c r="B56" s="18">
        <v>31</v>
      </c>
      <c r="C56" s="24" t="e">
        <f t="shared" si="12"/>
        <v>#NUM!</v>
      </c>
      <c r="D56" s="24" t="e">
        <f t="shared" si="13"/>
        <v>#NUM!</v>
      </c>
      <c r="E56" s="24">
        <f>'Dados de demanda e evaporação'!$D$13</f>
        <v>8.0599999999999991E-2</v>
      </c>
      <c r="F56" s="24" t="e">
        <f t="shared" si="14"/>
        <v>#NUM!</v>
      </c>
      <c r="G56" s="24" t="e">
        <f t="shared" si="15"/>
        <v>#NUM!</v>
      </c>
      <c r="H56" s="24">
        <f>'Dados de demanda e evaporação'!$B$7</f>
        <v>0.6</v>
      </c>
      <c r="I56" s="24">
        <f t="shared" si="7"/>
        <v>1607039.9999999998</v>
      </c>
      <c r="J56" s="24" t="e">
        <f t="shared" si="16"/>
        <v>#NUM!</v>
      </c>
      <c r="K56" s="27" t="e">
        <f t="shared" si="17"/>
        <v>#NUM!</v>
      </c>
    </row>
    <row r="57" spans="1:11" x14ac:dyDescent="0.25">
      <c r="A57" s="26">
        <v>44044</v>
      </c>
      <c r="B57" s="19">
        <v>31</v>
      </c>
      <c r="C57" s="25" t="e">
        <f t="shared" si="12"/>
        <v>#NUM!</v>
      </c>
      <c r="D57" s="25" t="e">
        <f t="shared" si="13"/>
        <v>#NUM!</v>
      </c>
      <c r="E57" s="25">
        <f>'Dados de demanda e evaporação'!$D$14</f>
        <v>9.9199999999999997E-2</v>
      </c>
      <c r="F57" s="25" t="e">
        <f t="shared" si="14"/>
        <v>#NUM!</v>
      </c>
      <c r="G57" s="25" t="e">
        <f t="shared" si="15"/>
        <v>#NUM!</v>
      </c>
      <c r="H57" s="25">
        <f>'Dados de demanda e evaporação'!$B$7</f>
        <v>0.6</v>
      </c>
      <c r="I57" s="25">
        <f t="shared" si="7"/>
        <v>1607039.9999999998</v>
      </c>
      <c r="J57" s="25" t="e">
        <f t="shared" si="16"/>
        <v>#NUM!</v>
      </c>
      <c r="K57" s="25" t="e">
        <f t="shared" si="17"/>
        <v>#NUM!</v>
      </c>
    </row>
    <row r="58" spans="1:11" x14ac:dyDescent="0.25">
      <c r="A58" s="26">
        <v>44075</v>
      </c>
      <c r="B58" s="18">
        <v>30</v>
      </c>
      <c r="C58" s="24" t="e">
        <f t="shared" si="12"/>
        <v>#NUM!</v>
      </c>
      <c r="D58" s="24" t="e">
        <f t="shared" si="13"/>
        <v>#NUM!</v>
      </c>
      <c r="E58" s="24">
        <f>'Dados de demanda e evaporação'!$D$15</f>
        <v>0.126</v>
      </c>
      <c r="F58" s="24" t="e">
        <f t="shared" si="14"/>
        <v>#NUM!</v>
      </c>
      <c r="G58" s="24" t="e">
        <f t="shared" si="15"/>
        <v>#NUM!</v>
      </c>
      <c r="H58" s="24">
        <f>'Dados de demanda e evaporação'!$B$7</f>
        <v>0.6</v>
      </c>
      <c r="I58" s="24">
        <f t="shared" si="7"/>
        <v>1555200</v>
      </c>
      <c r="J58" s="24" t="e">
        <f t="shared" si="16"/>
        <v>#NUM!</v>
      </c>
      <c r="K58" s="27" t="e">
        <f t="shared" si="17"/>
        <v>#NUM!</v>
      </c>
    </row>
    <row r="59" spans="1:11" x14ac:dyDescent="0.25">
      <c r="A59" s="26">
        <v>44105</v>
      </c>
      <c r="B59" s="19">
        <v>31</v>
      </c>
      <c r="C59" s="25" t="e">
        <f t="shared" si="12"/>
        <v>#NUM!</v>
      </c>
      <c r="D59" s="25" t="e">
        <f t="shared" si="13"/>
        <v>#NUM!</v>
      </c>
      <c r="E59" s="25">
        <f>'Dados de demanda e evaporação'!$D$16</f>
        <v>0.15190000000000001</v>
      </c>
      <c r="F59" s="25" t="e">
        <f t="shared" si="14"/>
        <v>#NUM!</v>
      </c>
      <c r="G59" s="25" t="e">
        <f t="shared" si="15"/>
        <v>#NUM!</v>
      </c>
      <c r="H59" s="25">
        <f>'Dados de demanda e evaporação'!$B$7</f>
        <v>0.6</v>
      </c>
      <c r="I59" s="25">
        <f t="shared" si="7"/>
        <v>1607039.9999999998</v>
      </c>
      <c r="J59" s="25" t="e">
        <f t="shared" si="16"/>
        <v>#NUM!</v>
      </c>
      <c r="K59" s="25" t="e">
        <f t="shared" si="17"/>
        <v>#NUM!</v>
      </c>
    </row>
    <row r="60" spans="1:11" x14ac:dyDescent="0.25">
      <c r="A60" s="26">
        <v>44136</v>
      </c>
      <c r="B60" s="18">
        <v>30</v>
      </c>
      <c r="C60" s="24" t="e">
        <f t="shared" si="12"/>
        <v>#NUM!</v>
      </c>
      <c r="D60" s="24" t="e">
        <f t="shared" si="13"/>
        <v>#NUM!</v>
      </c>
      <c r="E60" s="24">
        <f>'Dados de demanda e evaporação'!$D$17</f>
        <v>0.156</v>
      </c>
      <c r="F60" s="24" t="e">
        <f t="shared" si="14"/>
        <v>#NUM!</v>
      </c>
      <c r="G60" s="24" t="e">
        <f t="shared" si="15"/>
        <v>#NUM!</v>
      </c>
      <c r="H60" s="24">
        <f>'Dados de demanda e evaporação'!$B$7</f>
        <v>0.6</v>
      </c>
      <c r="I60" s="24">
        <f t="shared" si="7"/>
        <v>1555200</v>
      </c>
      <c r="J60" s="24" t="e">
        <f t="shared" si="16"/>
        <v>#NUM!</v>
      </c>
      <c r="K60" s="27" t="e">
        <f t="shared" si="17"/>
        <v>#NUM!</v>
      </c>
    </row>
    <row r="61" spans="1:11" x14ac:dyDescent="0.25">
      <c r="A61" s="26">
        <v>44166</v>
      </c>
      <c r="B61" s="19">
        <v>31</v>
      </c>
      <c r="C61" s="25" t="e">
        <f t="shared" si="12"/>
        <v>#NUM!</v>
      </c>
      <c r="D61" s="25" t="e">
        <f t="shared" si="13"/>
        <v>#NUM!</v>
      </c>
      <c r="E61" s="25">
        <f>'Dados de demanda e evaporação'!$D$18</f>
        <v>0.16119999999999998</v>
      </c>
      <c r="F61" s="25" t="e">
        <f t="shared" si="14"/>
        <v>#NUM!</v>
      </c>
      <c r="G61" s="25" t="e">
        <f t="shared" si="15"/>
        <v>#NUM!</v>
      </c>
      <c r="H61" s="25">
        <f>'Dados de demanda e evaporação'!$B$7</f>
        <v>0.6</v>
      </c>
      <c r="I61" s="25">
        <f t="shared" si="7"/>
        <v>1607039.9999999998</v>
      </c>
      <c r="J61" s="25" t="e">
        <f t="shared" si="16"/>
        <v>#NUM!</v>
      </c>
      <c r="K61" s="25" t="e">
        <f t="shared" si="17"/>
        <v>#NUM!</v>
      </c>
    </row>
    <row r="62" spans="1:11" x14ac:dyDescent="0.25">
      <c r="A62" s="26">
        <v>44197</v>
      </c>
      <c r="B62" s="18">
        <v>31</v>
      </c>
      <c r="C62" s="24" t="e">
        <f t="shared" si="12"/>
        <v>#NUM!</v>
      </c>
      <c r="D62" s="24" t="e">
        <f t="shared" si="13"/>
        <v>#NUM!</v>
      </c>
      <c r="E62" s="24">
        <f>'Dados de demanda e evaporação'!$D$7</f>
        <v>0.16119999999999998</v>
      </c>
      <c r="F62" s="24" t="e">
        <f t="shared" si="14"/>
        <v>#NUM!</v>
      </c>
      <c r="G62" s="24" t="e">
        <f t="shared" si="15"/>
        <v>#NUM!</v>
      </c>
      <c r="H62" s="24">
        <f>'Dados de demanda e evaporação'!$B$7</f>
        <v>0.6</v>
      </c>
      <c r="I62" s="24">
        <f t="shared" si="7"/>
        <v>1607039.9999999998</v>
      </c>
      <c r="J62" s="24" t="e">
        <f t="shared" si="16"/>
        <v>#NUM!</v>
      </c>
      <c r="K62" s="27" t="e">
        <f t="shared" si="17"/>
        <v>#NUM!</v>
      </c>
    </row>
    <row r="63" spans="1:11" x14ac:dyDescent="0.25">
      <c r="A63" s="26">
        <v>44228</v>
      </c>
      <c r="B63" s="19">
        <v>28</v>
      </c>
      <c r="C63" s="25" t="e">
        <f t="shared" si="12"/>
        <v>#NUM!</v>
      </c>
      <c r="D63" s="25" t="e">
        <f t="shared" si="13"/>
        <v>#NUM!</v>
      </c>
      <c r="E63" s="25">
        <f>'Dados de demanda e evaporação'!$D$8</f>
        <v>0.14280000000000001</v>
      </c>
      <c r="F63" s="25" t="e">
        <f t="shared" si="14"/>
        <v>#NUM!</v>
      </c>
      <c r="G63" s="25" t="e">
        <f t="shared" si="15"/>
        <v>#NUM!</v>
      </c>
      <c r="H63" s="25">
        <f>'Dados de demanda e evaporação'!$B$7</f>
        <v>0.6</v>
      </c>
      <c r="I63" s="25">
        <f t="shared" si="7"/>
        <v>1451520</v>
      </c>
      <c r="J63" s="25" t="e">
        <f t="shared" si="16"/>
        <v>#NUM!</v>
      </c>
      <c r="K63" s="25" t="e">
        <f t="shared" si="17"/>
        <v>#NUM!</v>
      </c>
    </row>
    <row r="64" spans="1:11" x14ac:dyDescent="0.25">
      <c r="A64" s="26">
        <v>44256</v>
      </c>
      <c r="B64" s="18">
        <v>31</v>
      </c>
      <c r="C64" s="24" t="e">
        <f t="shared" si="12"/>
        <v>#NUM!</v>
      </c>
      <c r="D64" s="24" t="e">
        <f t="shared" si="13"/>
        <v>#NUM!</v>
      </c>
      <c r="E64" s="24">
        <f>'Dados de demanda e evaporação'!$D$9</f>
        <v>0.13950000000000001</v>
      </c>
      <c r="F64" s="24" t="e">
        <f t="shared" si="14"/>
        <v>#NUM!</v>
      </c>
      <c r="G64" s="24" t="e">
        <f t="shared" si="15"/>
        <v>#NUM!</v>
      </c>
      <c r="H64" s="24">
        <f>'Dados de demanda e evaporação'!$B$7</f>
        <v>0.6</v>
      </c>
      <c r="I64" s="24">
        <f t="shared" si="7"/>
        <v>1607039.9999999998</v>
      </c>
      <c r="J64" s="24" t="e">
        <f t="shared" si="16"/>
        <v>#NUM!</v>
      </c>
      <c r="K64" s="27" t="e">
        <f t="shared" si="17"/>
        <v>#NUM!</v>
      </c>
    </row>
    <row r="65" spans="1:16" x14ac:dyDescent="0.25">
      <c r="A65" s="26">
        <v>44287</v>
      </c>
      <c r="B65" s="19">
        <v>30</v>
      </c>
      <c r="C65" s="25" t="e">
        <f t="shared" ref="C65:C67" si="18">K64</f>
        <v>#NUM!</v>
      </c>
      <c r="D65" s="25" t="e">
        <f t="shared" ref="D65:D67" si="19">22.256*C65^0.7153</f>
        <v>#NUM!</v>
      </c>
      <c r="E65" s="25">
        <f>'Dados de demanda e evaporação'!$D$10</f>
        <v>0.114</v>
      </c>
      <c r="F65" s="25" t="e">
        <f t="shared" ref="F65:F67" si="20">E65*D65</f>
        <v>#NUM!</v>
      </c>
      <c r="G65" s="25" t="e">
        <f t="shared" ref="G65:G67" si="21">(C65-F65)</f>
        <v>#NUM!</v>
      </c>
      <c r="H65" s="25">
        <f>'Dados de demanda e evaporação'!$B$7</f>
        <v>0.6</v>
      </c>
      <c r="I65" s="25">
        <f t="shared" si="7"/>
        <v>1555200</v>
      </c>
      <c r="J65" s="25" t="e">
        <f t="shared" ref="J65:J67" si="22">G65-I65</f>
        <v>#NUM!</v>
      </c>
      <c r="K65" s="25" t="e">
        <f t="shared" ref="K65:K70" si="23">IF(J65&lt;$D$9,J65,$D$9)</f>
        <v>#NUM!</v>
      </c>
    </row>
    <row r="66" spans="1:16" ht="15.75" thickBot="1" x14ac:dyDescent="0.3">
      <c r="A66" s="26">
        <v>44317</v>
      </c>
      <c r="B66" s="18">
        <v>31</v>
      </c>
      <c r="C66" s="24" t="e">
        <f t="shared" si="18"/>
        <v>#NUM!</v>
      </c>
      <c r="D66" s="24" t="e">
        <f t="shared" si="19"/>
        <v>#NUM!</v>
      </c>
      <c r="E66" s="24">
        <f>'Dados de demanda e evaporação'!$D$11</f>
        <v>8.9900000000000008E-2</v>
      </c>
      <c r="F66" s="24" t="e">
        <f t="shared" si="20"/>
        <v>#NUM!</v>
      </c>
      <c r="G66" s="24" t="e">
        <f t="shared" si="21"/>
        <v>#NUM!</v>
      </c>
      <c r="H66" s="24">
        <f>'Dados de demanda e evaporação'!$B$7</f>
        <v>0.6</v>
      </c>
      <c r="I66" s="24">
        <f t="shared" si="7"/>
        <v>1607039.9999999998</v>
      </c>
      <c r="J66" s="24" t="e">
        <f t="shared" si="22"/>
        <v>#NUM!</v>
      </c>
      <c r="K66" s="27" t="e">
        <f t="shared" si="23"/>
        <v>#NUM!</v>
      </c>
    </row>
    <row r="67" spans="1:16" ht="15.75" thickBot="1" x14ac:dyDescent="0.3">
      <c r="A67" s="26">
        <v>44348</v>
      </c>
      <c r="B67" s="19">
        <v>30</v>
      </c>
      <c r="C67" s="25" t="e">
        <f t="shared" si="18"/>
        <v>#NUM!</v>
      </c>
      <c r="D67" s="25" t="e">
        <f t="shared" si="19"/>
        <v>#NUM!</v>
      </c>
      <c r="E67" s="25">
        <f>'Dados de demanda e evaporação'!$D$12</f>
        <v>7.4999999999999997E-2</v>
      </c>
      <c r="F67" s="25" t="e">
        <f t="shared" si="20"/>
        <v>#NUM!</v>
      </c>
      <c r="G67" s="25" t="e">
        <f t="shared" si="21"/>
        <v>#NUM!</v>
      </c>
      <c r="H67" s="25">
        <f>'Dados de demanda e evaporação'!$B$7</f>
        <v>0.6</v>
      </c>
      <c r="I67" s="25">
        <f t="shared" si="7"/>
        <v>1555200</v>
      </c>
      <c r="J67" s="25" t="e">
        <f t="shared" si="22"/>
        <v>#NUM!</v>
      </c>
      <c r="K67" s="25" t="e">
        <f t="shared" si="23"/>
        <v>#NUM!</v>
      </c>
      <c r="L67" s="58" t="s">
        <v>46</v>
      </c>
      <c r="M67" s="59"/>
      <c r="N67" s="59"/>
      <c r="O67" s="59"/>
      <c r="P67" s="60"/>
    </row>
    <row r="68" spans="1:16" s="30" customFormat="1" x14ac:dyDescent="0.25">
      <c r="A68" s="26">
        <v>44378</v>
      </c>
      <c r="B68" s="18">
        <v>31</v>
      </c>
      <c r="C68" s="24" t="e">
        <f t="shared" ref="C68:C70" si="24">K67</f>
        <v>#NUM!</v>
      </c>
      <c r="D68" s="24" t="e">
        <f t="shared" ref="D68:D70" si="25">22.256*C68^0.7153</f>
        <v>#NUM!</v>
      </c>
      <c r="E68" s="24">
        <f>'Dados de demanda e evaporação'!$D$13</f>
        <v>8.0599999999999991E-2</v>
      </c>
      <c r="F68" s="24" t="e">
        <f t="shared" ref="F68:F70" si="26">E68*D68</f>
        <v>#NUM!</v>
      </c>
      <c r="G68" s="24" t="e">
        <f t="shared" ref="G68:G70" si="27">(C68-F68)</f>
        <v>#NUM!</v>
      </c>
      <c r="H68" s="24">
        <f>'Dados de demanda e evaporação'!$B$7</f>
        <v>0.6</v>
      </c>
      <c r="I68" s="24">
        <f t="shared" si="7"/>
        <v>1607039.9999999998</v>
      </c>
      <c r="J68" s="24" t="e">
        <f t="shared" ref="J68:J70" si="28">G68-I68</f>
        <v>#NUM!</v>
      </c>
      <c r="K68" s="24" t="e">
        <f t="shared" si="23"/>
        <v>#NUM!</v>
      </c>
    </row>
    <row r="69" spans="1:16" x14ac:dyDescent="0.25">
      <c r="A69" s="26">
        <v>44409</v>
      </c>
      <c r="B69" s="19">
        <v>31</v>
      </c>
      <c r="C69" s="25" t="e">
        <f t="shared" si="24"/>
        <v>#NUM!</v>
      </c>
      <c r="D69" s="25" t="e">
        <f t="shared" si="25"/>
        <v>#NUM!</v>
      </c>
      <c r="E69" s="25">
        <f>'Dados de demanda e evaporação'!$D$14</f>
        <v>9.9199999999999997E-2</v>
      </c>
      <c r="F69" s="25" t="e">
        <f t="shared" si="26"/>
        <v>#NUM!</v>
      </c>
      <c r="G69" s="25" t="e">
        <f t="shared" si="27"/>
        <v>#NUM!</v>
      </c>
      <c r="H69" s="25">
        <f>'Dados de demanda e evaporação'!$B$7</f>
        <v>0.6</v>
      </c>
      <c r="I69" s="25">
        <f t="shared" si="7"/>
        <v>1607039.9999999998</v>
      </c>
      <c r="J69" s="25" t="e">
        <f t="shared" si="28"/>
        <v>#NUM!</v>
      </c>
      <c r="K69" s="25" t="e">
        <f t="shared" si="23"/>
        <v>#NUM!</v>
      </c>
    </row>
    <row r="70" spans="1:16" x14ac:dyDescent="0.25">
      <c r="A70" s="26">
        <v>44440</v>
      </c>
      <c r="B70" s="18">
        <v>30</v>
      </c>
      <c r="C70" s="24" t="e">
        <f t="shared" si="24"/>
        <v>#NUM!</v>
      </c>
      <c r="D70" s="24" t="e">
        <f t="shared" si="25"/>
        <v>#NUM!</v>
      </c>
      <c r="E70" s="24">
        <f>'Dados de demanda e evaporação'!$D$15</f>
        <v>0.126</v>
      </c>
      <c r="F70" s="24" t="e">
        <f t="shared" si="26"/>
        <v>#NUM!</v>
      </c>
      <c r="G70" s="24" t="e">
        <f t="shared" si="27"/>
        <v>#NUM!</v>
      </c>
      <c r="H70" s="24">
        <f>'Dados de demanda e evaporação'!$B$7</f>
        <v>0.6</v>
      </c>
      <c r="I70" s="24">
        <f t="shared" si="7"/>
        <v>1555200</v>
      </c>
      <c r="J70" s="24" t="e">
        <f t="shared" si="28"/>
        <v>#NUM!</v>
      </c>
      <c r="K70" s="27" t="e">
        <f t="shared" si="23"/>
        <v>#NUM!</v>
      </c>
    </row>
    <row r="71" spans="1:16" x14ac:dyDescent="0.25">
      <c r="A71" s="26">
        <v>44470</v>
      </c>
      <c r="B71" s="19">
        <v>31</v>
      </c>
      <c r="C71" s="25" t="e">
        <f t="shared" ref="C71:C102" si="29">K70</f>
        <v>#NUM!</v>
      </c>
      <c r="D71" s="25" t="e">
        <f t="shared" ref="D71:D102" si="30">22.256*C71^0.7153</f>
        <v>#NUM!</v>
      </c>
      <c r="E71" s="25">
        <f>'Dados de demanda e evaporação'!$D$16</f>
        <v>0.15190000000000001</v>
      </c>
      <c r="F71" s="25" t="e">
        <f t="shared" ref="F71:F102" si="31">E71*D71</f>
        <v>#NUM!</v>
      </c>
      <c r="G71" s="25" t="e">
        <f t="shared" ref="G71:G102" si="32">(C71-F71)</f>
        <v>#NUM!</v>
      </c>
      <c r="H71" s="25">
        <f>'Dados de demanda e evaporação'!$B$7</f>
        <v>0.6</v>
      </c>
      <c r="I71" s="25">
        <f t="shared" ref="I71:I102" si="33">H71*B71*(3600*24)</f>
        <v>1607039.9999999998</v>
      </c>
      <c r="J71" s="25" t="e">
        <f t="shared" ref="J71:J102" si="34">G71-I71</f>
        <v>#NUM!</v>
      </c>
      <c r="K71" s="25" t="e">
        <f t="shared" ref="K71:K102" si="35">IF(J71&lt;$D$9,J71,$D$9)</f>
        <v>#NUM!</v>
      </c>
    </row>
    <row r="72" spans="1:16" x14ac:dyDescent="0.25">
      <c r="A72" s="26">
        <v>44501</v>
      </c>
      <c r="B72" s="18">
        <v>30</v>
      </c>
      <c r="C72" s="24" t="e">
        <f t="shared" si="29"/>
        <v>#NUM!</v>
      </c>
      <c r="D72" s="24" t="e">
        <f t="shared" si="30"/>
        <v>#NUM!</v>
      </c>
      <c r="E72" s="24">
        <f>'Dados de demanda e evaporação'!$D$17</f>
        <v>0.156</v>
      </c>
      <c r="F72" s="24" t="e">
        <f t="shared" si="31"/>
        <v>#NUM!</v>
      </c>
      <c r="G72" s="24" t="e">
        <f t="shared" si="32"/>
        <v>#NUM!</v>
      </c>
      <c r="H72" s="24">
        <f>'Dados de demanda e evaporação'!$B$7</f>
        <v>0.6</v>
      </c>
      <c r="I72" s="24">
        <f t="shared" si="33"/>
        <v>1555200</v>
      </c>
      <c r="J72" s="24" t="e">
        <f t="shared" si="34"/>
        <v>#NUM!</v>
      </c>
      <c r="K72" s="27" t="e">
        <f t="shared" si="35"/>
        <v>#NUM!</v>
      </c>
    </row>
    <row r="73" spans="1:16" x14ac:dyDescent="0.25">
      <c r="A73" s="26">
        <v>44531</v>
      </c>
      <c r="B73" s="19">
        <v>31</v>
      </c>
      <c r="C73" s="25" t="e">
        <f t="shared" si="29"/>
        <v>#NUM!</v>
      </c>
      <c r="D73" s="25" t="e">
        <f t="shared" si="30"/>
        <v>#NUM!</v>
      </c>
      <c r="E73" s="25">
        <f>'Dados de demanda e evaporação'!$D$18</f>
        <v>0.16119999999999998</v>
      </c>
      <c r="F73" s="25" t="e">
        <f t="shared" si="31"/>
        <v>#NUM!</v>
      </c>
      <c r="G73" s="25" t="e">
        <f t="shared" si="32"/>
        <v>#NUM!</v>
      </c>
      <c r="H73" s="25">
        <f>'Dados de demanda e evaporação'!$B$7</f>
        <v>0.6</v>
      </c>
      <c r="I73" s="25">
        <f t="shared" si="33"/>
        <v>1607039.9999999998</v>
      </c>
      <c r="J73" s="25" t="e">
        <f t="shared" si="34"/>
        <v>#NUM!</v>
      </c>
      <c r="K73" s="25" t="e">
        <f t="shared" si="35"/>
        <v>#NUM!</v>
      </c>
    </row>
    <row r="74" spans="1:16" x14ac:dyDescent="0.25">
      <c r="A74" s="26">
        <v>44562</v>
      </c>
      <c r="B74" s="18">
        <v>30</v>
      </c>
      <c r="C74" s="24" t="e">
        <f t="shared" si="29"/>
        <v>#NUM!</v>
      </c>
      <c r="D74" s="24" t="e">
        <f t="shared" si="30"/>
        <v>#NUM!</v>
      </c>
      <c r="E74" s="24">
        <f>'Dados de demanda e evaporação'!$D$7</f>
        <v>0.16119999999999998</v>
      </c>
      <c r="F74" s="24" t="e">
        <f t="shared" si="31"/>
        <v>#NUM!</v>
      </c>
      <c r="G74" s="24" t="e">
        <f t="shared" si="32"/>
        <v>#NUM!</v>
      </c>
      <c r="H74" s="24">
        <f>'Dados de demanda e evaporação'!$B$7</f>
        <v>0.6</v>
      </c>
      <c r="I74" s="24">
        <f t="shared" si="33"/>
        <v>1555200</v>
      </c>
      <c r="J74" s="24" t="e">
        <f t="shared" si="34"/>
        <v>#NUM!</v>
      </c>
      <c r="K74" s="27" t="e">
        <f t="shared" si="35"/>
        <v>#NUM!</v>
      </c>
    </row>
    <row r="75" spans="1:16" x14ac:dyDescent="0.25">
      <c r="A75" s="26">
        <v>44593</v>
      </c>
      <c r="B75" s="19">
        <v>31</v>
      </c>
      <c r="C75" s="25" t="e">
        <f t="shared" si="29"/>
        <v>#NUM!</v>
      </c>
      <c r="D75" s="25" t="e">
        <f t="shared" si="30"/>
        <v>#NUM!</v>
      </c>
      <c r="E75" s="25">
        <f>'Dados de demanda e evaporação'!$D$8</f>
        <v>0.14280000000000001</v>
      </c>
      <c r="F75" s="25" t="e">
        <f t="shared" si="31"/>
        <v>#NUM!</v>
      </c>
      <c r="G75" s="25" t="e">
        <f t="shared" si="32"/>
        <v>#NUM!</v>
      </c>
      <c r="H75" s="25">
        <f>'Dados de demanda e evaporação'!$B$7</f>
        <v>0.6</v>
      </c>
      <c r="I75" s="25">
        <f t="shared" si="33"/>
        <v>1607039.9999999998</v>
      </c>
      <c r="J75" s="25" t="e">
        <f t="shared" si="34"/>
        <v>#NUM!</v>
      </c>
      <c r="K75" s="25" t="e">
        <f t="shared" si="35"/>
        <v>#NUM!</v>
      </c>
    </row>
    <row r="76" spans="1:16" x14ac:dyDescent="0.25">
      <c r="A76" s="26">
        <v>44621</v>
      </c>
      <c r="B76" s="18"/>
      <c r="C76" s="24" t="e">
        <f t="shared" si="29"/>
        <v>#NUM!</v>
      </c>
      <c r="D76" s="24" t="e">
        <f t="shared" si="30"/>
        <v>#NUM!</v>
      </c>
      <c r="E76" s="24">
        <f>'Dados de demanda e evaporação'!$D$9</f>
        <v>0.13950000000000001</v>
      </c>
      <c r="F76" s="24" t="e">
        <f t="shared" si="31"/>
        <v>#NUM!</v>
      </c>
      <c r="G76" s="24" t="e">
        <f t="shared" si="32"/>
        <v>#NUM!</v>
      </c>
      <c r="H76" s="24">
        <f>'Dados de demanda e evaporação'!$B$7</f>
        <v>0.6</v>
      </c>
      <c r="I76" s="24">
        <f t="shared" si="33"/>
        <v>0</v>
      </c>
      <c r="J76" s="24" t="e">
        <f t="shared" si="34"/>
        <v>#NUM!</v>
      </c>
      <c r="K76" s="27" t="e">
        <f t="shared" si="35"/>
        <v>#NUM!</v>
      </c>
    </row>
    <row r="77" spans="1:16" x14ac:dyDescent="0.25">
      <c r="A77" s="26">
        <v>44652</v>
      </c>
      <c r="B77" s="19"/>
      <c r="C77" s="25" t="e">
        <f t="shared" si="29"/>
        <v>#NUM!</v>
      </c>
      <c r="D77" s="25" t="e">
        <f t="shared" si="30"/>
        <v>#NUM!</v>
      </c>
      <c r="E77" s="25">
        <f>'Dados de demanda e evaporação'!$D$10</f>
        <v>0.114</v>
      </c>
      <c r="F77" s="25" t="e">
        <f t="shared" si="31"/>
        <v>#NUM!</v>
      </c>
      <c r="G77" s="25" t="e">
        <f t="shared" si="32"/>
        <v>#NUM!</v>
      </c>
      <c r="H77" s="25">
        <f>'Dados de demanda e evaporação'!$B$7</f>
        <v>0.6</v>
      </c>
      <c r="I77" s="25">
        <f t="shared" si="33"/>
        <v>0</v>
      </c>
      <c r="J77" s="25" t="e">
        <f t="shared" si="34"/>
        <v>#NUM!</v>
      </c>
      <c r="K77" s="25" t="e">
        <f t="shared" si="35"/>
        <v>#NUM!</v>
      </c>
    </row>
    <row r="78" spans="1:16" x14ac:dyDescent="0.25">
      <c r="A78" s="26">
        <v>44682</v>
      </c>
      <c r="B78" s="18"/>
      <c r="C78" s="24" t="e">
        <f t="shared" si="29"/>
        <v>#NUM!</v>
      </c>
      <c r="D78" s="24" t="e">
        <f t="shared" si="30"/>
        <v>#NUM!</v>
      </c>
      <c r="E78" s="24">
        <f>'Dados de demanda e evaporação'!$D$11</f>
        <v>8.9900000000000008E-2</v>
      </c>
      <c r="F78" s="24" t="e">
        <f t="shared" si="31"/>
        <v>#NUM!</v>
      </c>
      <c r="G78" s="24" t="e">
        <f t="shared" si="32"/>
        <v>#NUM!</v>
      </c>
      <c r="H78" s="24">
        <f>'Dados de demanda e evaporação'!$B$7</f>
        <v>0.6</v>
      </c>
      <c r="I78" s="24">
        <f t="shared" si="33"/>
        <v>0</v>
      </c>
      <c r="J78" s="24" t="e">
        <f t="shared" si="34"/>
        <v>#NUM!</v>
      </c>
      <c r="K78" s="27" t="e">
        <f t="shared" si="35"/>
        <v>#NUM!</v>
      </c>
    </row>
    <row r="79" spans="1:16" x14ac:dyDescent="0.25">
      <c r="A79" s="26">
        <v>44713</v>
      </c>
      <c r="B79" s="19"/>
      <c r="C79" s="25" t="e">
        <f t="shared" si="29"/>
        <v>#NUM!</v>
      </c>
      <c r="D79" s="25" t="e">
        <f t="shared" si="30"/>
        <v>#NUM!</v>
      </c>
      <c r="E79" s="25">
        <f>'Dados de demanda e evaporação'!$D$12</f>
        <v>7.4999999999999997E-2</v>
      </c>
      <c r="F79" s="25" t="e">
        <f t="shared" si="31"/>
        <v>#NUM!</v>
      </c>
      <c r="G79" s="25" t="e">
        <f t="shared" si="32"/>
        <v>#NUM!</v>
      </c>
      <c r="H79" s="25">
        <f>'Dados de demanda e evaporação'!$B$7</f>
        <v>0.6</v>
      </c>
      <c r="I79" s="25">
        <f t="shared" si="33"/>
        <v>0</v>
      </c>
      <c r="J79" s="25" t="e">
        <f t="shared" si="34"/>
        <v>#NUM!</v>
      </c>
      <c r="K79" s="25" t="e">
        <f t="shared" si="35"/>
        <v>#NUM!</v>
      </c>
    </row>
    <row r="80" spans="1:16" x14ac:dyDescent="0.25">
      <c r="A80" s="26">
        <v>44743</v>
      </c>
      <c r="B80" s="18"/>
      <c r="C80" s="24" t="e">
        <f t="shared" si="29"/>
        <v>#NUM!</v>
      </c>
      <c r="D80" s="24" t="e">
        <f t="shared" si="30"/>
        <v>#NUM!</v>
      </c>
      <c r="E80" s="24">
        <f>'Dados de demanda e evaporação'!$D$13</f>
        <v>8.0599999999999991E-2</v>
      </c>
      <c r="F80" s="24" t="e">
        <f t="shared" si="31"/>
        <v>#NUM!</v>
      </c>
      <c r="G80" s="24" t="e">
        <f t="shared" si="32"/>
        <v>#NUM!</v>
      </c>
      <c r="H80" s="24">
        <f>'Dados de demanda e evaporação'!$B$7</f>
        <v>0.6</v>
      </c>
      <c r="I80" s="24">
        <f t="shared" si="33"/>
        <v>0</v>
      </c>
      <c r="J80" s="24" t="e">
        <f t="shared" si="34"/>
        <v>#NUM!</v>
      </c>
      <c r="K80" s="27" t="e">
        <f t="shared" si="35"/>
        <v>#NUM!</v>
      </c>
    </row>
    <row r="81" spans="1:11" x14ac:dyDescent="0.25">
      <c r="A81" s="26">
        <v>44774</v>
      </c>
      <c r="B81" s="19"/>
      <c r="C81" s="25" t="e">
        <f t="shared" si="29"/>
        <v>#NUM!</v>
      </c>
      <c r="D81" s="25" t="e">
        <f t="shared" si="30"/>
        <v>#NUM!</v>
      </c>
      <c r="E81" s="25">
        <f>'Dados de demanda e evaporação'!$D$14</f>
        <v>9.9199999999999997E-2</v>
      </c>
      <c r="F81" s="25" t="e">
        <f t="shared" si="31"/>
        <v>#NUM!</v>
      </c>
      <c r="G81" s="25" t="e">
        <f t="shared" si="32"/>
        <v>#NUM!</v>
      </c>
      <c r="H81" s="25">
        <f>'Dados de demanda e evaporação'!$B$7</f>
        <v>0.6</v>
      </c>
      <c r="I81" s="25">
        <f t="shared" si="33"/>
        <v>0</v>
      </c>
      <c r="J81" s="25" t="e">
        <f t="shared" si="34"/>
        <v>#NUM!</v>
      </c>
      <c r="K81" s="25" t="e">
        <f t="shared" si="35"/>
        <v>#NUM!</v>
      </c>
    </row>
    <row r="82" spans="1:11" x14ac:dyDescent="0.25">
      <c r="A82" s="26">
        <v>44805</v>
      </c>
      <c r="B82" s="18"/>
      <c r="C82" s="24" t="e">
        <f t="shared" si="29"/>
        <v>#NUM!</v>
      </c>
      <c r="D82" s="24" t="e">
        <f t="shared" si="30"/>
        <v>#NUM!</v>
      </c>
      <c r="E82" s="24">
        <f>'Dados de demanda e evaporação'!$D$15</f>
        <v>0.126</v>
      </c>
      <c r="F82" s="24" t="e">
        <f t="shared" si="31"/>
        <v>#NUM!</v>
      </c>
      <c r="G82" s="24" t="e">
        <f t="shared" si="32"/>
        <v>#NUM!</v>
      </c>
      <c r="H82" s="24">
        <f>'Dados de demanda e evaporação'!$B$7</f>
        <v>0.6</v>
      </c>
      <c r="I82" s="24">
        <f t="shared" si="33"/>
        <v>0</v>
      </c>
      <c r="J82" s="24" t="e">
        <f t="shared" si="34"/>
        <v>#NUM!</v>
      </c>
      <c r="K82" s="27" t="e">
        <f t="shared" si="35"/>
        <v>#NUM!</v>
      </c>
    </row>
    <row r="83" spans="1:11" x14ac:dyDescent="0.25">
      <c r="A83" s="26">
        <v>44835</v>
      </c>
      <c r="B83" s="19"/>
      <c r="C83" s="25" t="e">
        <f t="shared" si="29"/>
        <v>#NUM!</v>
      </c>
      <c r="D83" s="25" t="e">
        <f t="shared" si="30"/>
        <v>#NUM!</v>
      </c>
      <c r="E83" s="25">
        <f>'Dados de demanda e evaporação'!$D$16</f>
        <v>0.15190000000000001</v>
      </c>
      <c r="F83" s="25" t="e">
        <f t="shared" si="31"/>
        <v>#NUM!</v>
      </c>
      <c r="G83" s="25" t="e">
        <f t="shared" si="32"/>
        <v>#NUM!</v>
      </c>
      <c r="H83" s="25">
        <f>'Dados de demanda e evaporação'!$B$7</f>
        <v>0.6</v>
      </c>
      <c r="I83" s="25">
        <f t="shared" si="33"/>
        <v>0</v>
      </c>
      <c r="J83" s="25" t="e">
        <f t="shared" si="34"/>
        <v>#NUM!</v>
      </c>
      <c r="K83" s="25" t="e">
        <f t="shared" si="35"/>
        <v>#NUM!</v>
      </c>
    </row>
    <row r="84" spans="1:11" x14ac:dyDescent="0.25">
      <c r="A84" s="26">
        <v>44866</v>
      </c>
      <c r="B84" s="18"/>
      <c r="C84" s="24" t="e">
        <f t="shared" si="29"/>
        <v>#NUM!</v>
      </c>
      <c r="D84" s="24" t="e">
        <f t="shared" si="30"/>
        <v>#NUM!</v>
      </c>
      <c r="E84" s="24">
        <f>'Dados de demanda e evaporação'!$D$17</f>
        <v>0.156</v>
      </c>
      <c r="F84" s="24" t="e">
        <f t="shared" si="31"/>
        <v>#NUM!</v>
      </c>
      <c r="G84" s="24" t="e">
        <f t="shared" si="32"/>
        <v>#NUM!</v>
      </c>
      <c r="H84" s="24">
        <f>'Dados de demanda e evaporação'!$B$7</f>
        <v>0.6</v>
      </c>
      <c r="I84" s="24">
        <f t="shared" si="33"/>
        <v>0</v>
      </c>
      <c r="J84" s="24" t="e">
        <f t="shared" si="34"/>
        <v>#NUM!</v>
      </c>
      <c r="K84" s="27" t="e">
        <f t="shared" si="35"/>
        <v>#NUM!</v>
      </c>
    </row>
    <row r="85" spans="1:11" x14ac:dyDescent="0.25">
      <c r="A85" s="26">
        <v>44896</v>
      </c>
      <c r="B85" s="19"/>
      <c r="C85" s="25" t="e">
        <f t="shared" si="29"/>
        <v>#NUM!</v>
      </c>
      <c r="D85" s="25" t="e">
        <f t="shared" si="30"/>
        <v>#NUM!</v>
      </c>
      <c r="E85" s="25">
        <f>'Dados de demanda e evaporação'!$D$18</f>
        <v>0.16119999999999998</v>
      </c>
      <c r="F85" s="25" t="e">
        <f t="shared" si="31"/>
        <v>#NUM!</v>
      </c>
      <c r="G85" s="25" t="e">
        <f t="shared" si="32"/>
        <v>#NUM!</v>
      </c>
      <c r="H85" s="25">
        <f>'Dados de demanda e evaporação'!$B$7</f>
        <v>0.6</v>
      </c>
      <c r="I85" s="25">
        <f t="shared" si="33"/>
        <v>0</v>
      </c>
      <c r="J85" s="25" t="e">
        <f t="shared" si="34"/>
        <v>#NUM!</v>
      </c>
      <c r="K85" s="25" t="e">
        <f t="shared" si="35"/>
        <v>#NUM!</v>
      </c>
    </row>
    <row r="86" spans="1:11" x14ac:dyDescent="0.25">
      <c r="A86" s="26">
        <v>44927</v>
      </c>
      <c r="B86" s="18"/>
      <c r="C86" s="24" t="e">
        <f t="shared" si="29"/>
        <v>#NUM!</v>
      </c>
      <c r="D86" s="24" t="e">
        <f t="shared" si="30"/>
        <v>#NUM!</v>
      </c>
      <c r="E86" s="24">
        <f>'Dados de demanda e evaporação'!$D$7</f>
        <v>0.16119999999999998</v>
      </c>
      <c r="F86" s="24" t="e">
        <f t="shared" si="31"/>
        <v>#NUM!</v>
      </c>
      <c r="G86" s="24" t="e">
        <f t="shared" si="32"/>
        <v>#NUM!</v>
      </c>
      <c r="H86" s="24">
        <f>'Dados de demanda e evaporação'!$B$7</f>
        <v>0.6</v>
      </c>
      <c r="I86" s="24">
        <f t="shared" si="33"/>
        <v>0</v>
      </c>
      <c r="J86" s="24" t="e">
        <f t="shared" si="34"/>
        <v>#NUM!</v>
      </c>
      <c r="K86" s="27" t="e">
        <f t="shared" si="35"/>
        <v>#NUM!</v>
      </c>
    </row>
    <row r="87" spans="1:11" x14ac:dyDescent="0.25">
      <c r="A87" s="26">
        <v>44958</v>
      </c>
      <c r="B87" s="19"/>
      <c r="C87" s="25" t="e">
        <f t="shared" si="29"/>
        <v>#NUM!</v>
      </c>
      <c r="D87" s="25" t="e">
        <f t="shared" si="30"/>
        <v>#NUM!</v>
      </c>
      <c r="E87" s="25">
        <f>'Dados de demanda e evaporação'!$D$8</f>
        <v>0.14280000000000001</v>
      </c>
      <c r="F87" s="25" t="e">
        <f t="shared" si="31"/>
        <v>#NUM!</v>
      </c>
      <c r="G87" s="25" t="e">
        <f t="shared" si="32"/>
        <v>#NUM!</v>
      </c>
      <c r="H87" s="25">
        <f>'Dados de demanda e evaporação'!$B$7</f>
        <v>0.6</v>
      </c>
      <c r="I87" s="25">
        <f t="shared" si="33"/>
        <v>0</v>
      </c>
      <c r="J87" s="25" t="e">
        <f t="shared" si="34"/>
        <v>#NUM!</v>
      </c>
      <c r="K87" s="25" t="e">
        <f t="shared" si="35"/>
        <v>#NUM!</v>
      </c>
    </row>
    <row r="88" spans="1:11" x14ac:dyDescent="0.25">
      <c r="A88" s="26">
        <v>44986</v>
      </c>
      <c r="B88" s="18"/>
      <c r="C88" s="24" t="e">
        <f t="shared" si="29"/>
        <v>#NUM!</v>
      </c>
      <c r="D88" s="24" t="e">
        <f t="shared" si="30"/>
        <v>#NUM!</v>
      </c>
      <c r="E88" s="24">
        <f>'Dados de demanda e evaporação'!$D$9</f>
        <v>0.13950000000000001</v>
      </c>
      <c r="F88" s="24" t="e">
        <f t="shared" si="31"/>
        <v>#NUM!</v>
      </c>
      <c r="G88" s="24" t="e">
        <f t="shared" si="32"/>
        <v>#NUM!</v>
      </c>
      <c r="H88" s="24">
        <f>'Dados de demanda e evaporação'!$B$7</f>
        <v>0.6</v>
      </c>
      <c r="I88" s="24">
        <f t="shared" si="33"/>
        <v>0</v>
      </c>
      <c r="J88" s="24" t="e">
        <f t="shared" si="34"/>
        <v>#NUM!</v>
      </c>
      <c r="K88" s="27" t="e">
        <f t="shared" si="35"/>
        <v>#NUM!</v>
      </c>
    </row>
    <row r="89" spans="1:11" x14ac:dyDescent="0.25">
      <c r="A89" s="26">
        <v>45017</v>
      </c>
      <c r="B89" s="19"/>
      <c r="C89" s="25" t="e">
        <f t="shared" si="29"/>
        <v>#NUM!</v>
      </c>
      <c r="D89" s="25" t="e">
        <f t="shared" si="30"/>
        <v>#NUM!</v>
      </c>
      <c r="E89" s="25">
        <f>'Dados de demanda e evaporação'!$D$10</f>
        <v>0.114</v>
      </c>
      <c r="F89" s="25" t="e">
        <f t="shared" si="31"/>
        <v>#NUM!</v>
      </c>
      <c r="G89" s="25" t="e">
        <f t="shared" si="32"/>
        <v>#NUM!</v>
      </c>
      <c r="H89" s="25">
        <f>'Dados de demanda e evaporação'!$B$7</f>
        <v>0.6</v>
      </c>
      <c r="I89" s="25">
        <f t="shared" si="33"/>
        <v>0</v>
      </c>
      <c r="J89" s="25" t="e">
        <f t="shared" si="34"/>
        <v>#NUM!</v>
      </c>
      <c r="K89" s="25" t="e">
        <f t="shared" si="35"/>
        <v>#NUM!</v>
      </c>
    </row>
    <row r="90" spans="1:11" x14ac:dyDescent="0.25">
      <c r="A90" s="26">
        <v>45047</v>
      </c>
      <c r="B90" s="18"/>
      <c r="C90" s="24" t="e">
        <f t="shared" si="29"/>
        <v>#NUM!</v>
      </c>
      <c r="D90" s="24" t="e">
        <f t="shared" si="30"/>
        <v>#NUM!</v>
      </c>
      <c r="E90" s="24">
        <f>'Dados de demanda e evaporação'!$D$11</f>
        <v>8.9900000000000008E-2</v>
      </c>
      <c r="F90" s="24" t="e">
        <f t="shared" si="31"/>
        <v>#NUM!</v>
      </c>
      <c r="G90" s="24" t="e">
        <f t="shared" si="32"/>
        <v>#NUM!</v>
      </c>
      <c r="H90" s="24">
        <f>'Dados de demanda e evaporação'!$B$7</f>
        <v>0.6</v>
      </c>
      <c r="I90" s="24">
        <f t="shared" si="33"/>
        <v>0</v>
      </c>
      <c r="J90" s="24" t="e">
        <f t="shared" si="34"/>
        <v>#NUM!</v>
      </c>
      <c r="K90" s="27" t="e">
        <f t="shared" si="35"/>
        <v>#NUM!</v>
      </c>
    </row>
    <row r="91" spans="1:11" x14ac:dyDescent="0.25">
      <c r="A91" s="26">
        <v>45078</v>
      </c>
      <c r="B91" s="19"/>
      <c r="C91" s="25" t="e">
        <f t="shared" si="29"/>
        <v>#NUM!</v>
      </c>
      <c r="D91" s="25" t="e">
        <f t="shared" si="30"/>
        <v>#NUM!</v>
      </c>
      <c r="E91" s="25">
        <f>'Dados de demanda e evaporação'!$D$12</f>
        <v>7.4999999999999997E-2</v>
      </c>
      <c r="F91" s="25" t="e">
        <f t="shared" si="31"/>
        <v>#NUM!</v>
      </c>
      <c r="G91" s="25" t="e">
        <f t="shared" si="32"/>
        <v>#NUM!</v>
      </c>
      <c r="H91" s="25">
        <f>'Dados de demanda e evaporação'!$B$7</f>
        <v>0.6</v>
      </c>
      <c r="I91" s="25">
        <f t="shared" si="33"/>
        <v>0</v>
      </c>
      <c r="J91" s="25" t="e">
        <f t="shared" si="34"/>
        <v>#NUM!</v>
      </c>
      <c r="K91" s="25" t="e">
        <f t="shared" si="35"/>
        <v>#NUM!</v>
      </c>
    </row>
    <row r="92" spans="1:11" x14ac:dyDescent="0.25">
      <c r="A92" s="26">
        <v>45108</v>
      </c>
      <c r="B92" s="18"/>
      <c r="C92" s="24" t="e">
        <f t="shared" si="29"/>
        <v>#NUM!</v>
      </c>
      <c r="D92" s="24" t="e">
        <f t="shared" si="30"/>
        <v>#NUM!</v>
      </c>
      <c r="E92" s="24">
        <f>'Dados de demanda e evaporação'!$D$13</f>
        <v>8.0599999999999991E-2</v>
      </c>
      <c r="F92" s="24" t="e">
        <f t="shared" si="31"/>
        <v>#NUM!</v>
      </c>
      <c r="G92" s="24" t="e">
        <f t="shared" si="32"/>
        <v>#NUM!</v>
      </c>
      <c r="H92" s="24">
        <f>'Dados de demanda e evaporação'!$B$7</f>
        <v>0.6</v>
      </c>
      <c r="I92" s="24">
        <f t="shared" si="33"/>
        <v>0</v>
      </c>
      <c r="J92" s="24" t="e">
        <f t="shared" si="34"/>
        <v>#NUM!</v>
      </c>
      <c r="K92" s="27" t="e">
        <f t="shared" si="35"/>
        <v>#NUM!</v>
      </c>
    </row>
    <row r="93" spans="1:11" x14ac:dyDescent="0.25">
      <c r="A93" s="26">
        <v>45139</v>
      </c>
      <c r="B93" s="19"/>
      <c r="C93" s="25" t="e">
        <f t="shared" si="29"/>
        <v>#NUM!</v>
      </c>
      <c r="D93" s="25" t="e">
        <f t="shared" si="30"/>
        <v>#NUM!</v>
      </c>
      <c r="E93" s="25">
        <f>'Dados de demanda e evaporação'!$D$14</f>
        <v>9.9199999999999997E-2</v>
      </c>
      <c r="F93" s="25" t="e">
        <f t="shared" si="31"/>
        <v>#NUM!</v>
      </c>
      <c r="G93" s="25" t="e">
        <f t="shared" si="32"/>
        <v>#NUM!</v>
      </c>
      <c r="H93" s="25">
        <f>'Dados de demanda e evaporação'!$B$7</f>
        <v>0.6</v>
      </c>
      <c r="I93" s="25">
        <f t="shared" si="33"/>
        <v>0</v>
      </c>
      <c r="J93" s="25" t="e">
        <f t="shared" si="34"/>
        <v>#NUM!</v>
      </c>
      <c r="K93" s="25" t="e">
        <f t="shared" si="35"/>
        <v>#NUM!</v>
      </c>
    </row>
    <row r="94" spans="1:11" x14ac:dyDescent="0.25">
      <c r="A94" s="26">
        <v>45170</v>
      </c>
      <c r="B94" s="18"/>
      <c r="C94" s="24" t="e">
        <f t="shared" si="29"/>
        <v>#NUM!</v>
      </c>
      <c r="D94" s="24" t="e">
        <f t="shared" si="30"/>
        <v>#NUM!</v>
      </c>
      <c r="E94" s="24">
        <f>'Dados de demanda e evaporação'!$D$15</f>
        <v>0.126</v>
      </c>
      <c r="F94" s="24" t="e">
        <f t="shared" si="31"/>
        <v>#NUM!</v>
      </c>
      <c r="G94" s="24" t="e">
        <f t="shared" si="32"/>
        <v>#NUM!</v>
      </c>
      <c r="H94" s="24">
        <f>'Dados de demanda e evaporação'!$B$7</f>
        <v>0.6</v>
      </c>
      <c r="I94" s="24">
        <f t="shared" si="33"/>
        <v>0</v>
      </c>
      <c r="J94" s="24" t="e">
        <f t="shared" si="34"/>
        <v>#NUM!</v>
      </c>
      <c r="K94" s="27" t="e">
        <f t="shared" si="35"/>
        <v>#NUM!</v>
      </c>
    </row>
    <row r="95" spans="1:11" x14ac:dyDescent="0.25">
      <c r="A95" s="26">
        <v>45200</v>
      </c>
      <c r="B95" s="19"/>
      <c r="C95" s="25" t="e">
        <f t="shared" si="29"/>
        <v>#NUM!</v>
      </c>
      <c r="D95" s="25" t="e">
        <f t="shared" si="30"/>
        <v>#NUM!</v>
      </c>
      <c r="E95" s="25">
        <f>'Dados de demanda e evaporação'!$D$16</f>
        <v>0.15190000000000001</v>
      </c>
      <c r="F95" s="25" t="e">
        <f t="shared" si="31"/>
        <v>#NUM!</v>
      </c>
      <c r="G95" s="25" t="e">
        <f t="shared" si="32"/>
        <v>#NUM!</v>
      </c>
      <c r="H95" s="25">
        <f>'Dados de demanda e evaporação'!$B$7</f>
        <v>0.6</v>
      </c>
      <c r="I95" s="25">
        <f t="shared" si="33"/>
        <v>0</v>
      </c>
      <c r="J95" s="25" t="e">
        <f t="shared" si="34"/>
        <v>#NUM!</v>
      </c>
      <c r="K95" s="25" t="e">
        <f t="shared" si="35"/>
        <v>#NUM!</v>
      </c>
    </row>
    <row r="96" spans="1:11" x14ac:dyDescent="0.25">
      <c r="A96" s="26">
        <v>45231</v>
      </c>
      <c r="B96" s="18"/>
      <c r="C96" s="24" t="e">
        <f t="shared" si="29"/>
        <v>#NUM!</v>
      </c>
      <c r="D96" s="24" t="e">
        <f t="shared" si="30"/>
        <v>#NUM!</v>
      </c>
      <c r="E96" s="24">
        <f>'Dados de demanda e evaporação'!$D$17</f>
        <v>0.156</v>
      </c>
      <c r="F96" s="24" t="e">
        <f t="shared" si="31"/>
        <v>#NUM!</v>
      </c>
      <c r="G96" s="24" t="e">
        <f t="shared" si="32"/>
        <v>#NUM!</v>
      </c>
      <c r="H96" s="24">
        <f>'Dados de demanda e evaporação'!$B$7</f>
        <v>0.6</v>
      </c>
      <c r="I96" s="24">
        <f t="shared" si="33"/>
        <v>0</v>
      </c>
      <c r="J96" s="24" t="e">
        <f t="shared" si="34"/>
        <v>#NUM!</v>
      </c>
      <c r="K96" s="27" t="e">
        <f t="shared" si="35"/>
        <v>#NUM!</v>
      </c>
    </row>
    <row r="97" spans="1:11" x14ac:dyDescent="0.25">
      <c r="A97" s="26">
        <v>45261</v>
      </c>
      <c r="B97" s="19"/>
      <c r="C97" s="25" t="e">
        <f t="shared" si="29"/>
        <v>#NUM!</v>
      </c>
      <c r="D97" s="25" t="e">
        <f t="shared" si="30"/>
        <v>#NUM!</v>
      </c>
      <c r="E97" s="25">
        <f>'Dados de demanda e evaporação'!$D$18</f>
        <v>0.16119999999999998</v>
      </c>
      <c r="F97" s="25" t="e">
        <f t="shared" si="31"/>
        <v>#NUM!</v>
      </c>
      <c r="G97" s="25" t="e">
        <f t="shared" si="32"/>
        <v>#NUM!</v>
      </c>
      <c r="H97" s="25">
        <f>'Dados de demanda e evaporação'!$B$7</f>
        <v>0.6</v>
      </c>
      <c r="I97" s="25">
        <f t="shared" si="33"/>
        <v>0</v>
      </c>
      <c r="J97" s="25" t="e">
        <f t="shared" si="34"/>
        <v>#NUM!</v>
      </c>
      <c r="K97" s="25" t="e">
        <f t="shared" si="35"/>
        <v>#NUM!</v>
      </c>
    </row>
    <row r="98" spans="1:11" x14ac:dyDescent="0.25">
      <c r="A98" s="26">
        <v>45292</v>
      </c>
      <c r="B98" s="18"/>
      <c r="C98" s="24" t="e">
        <f t="shared" si="29"/>
        <v>#NUM!</v>
      </c>
      <c r="D98" s="24" t="e">
        <f t="shared" si="30"/>
        <v>#NUM!</v>
      </c>
      <c r="E98" s="24"/>
      <c r="F98" s="24" t="e">
        <f t="shared" si="31"/>
        <v>#NUM!</v>
      </c>
      <c r="G98" s="24" t="e">
        <f t="shared" si="32"/>
        <v>#NUM!</v>
      </c>
      <c r="H98" s="24">
        <f>'Dados de demanda e evaporação'!$B$7</f>
        <v>0.6</v>
      </c>
      <c r="I98" s="24">
        <f t="shared" si="33"/>
        <v>0</v>
      </c>
      <c r="J98" s="24" t="e">
        <f t="shared" si="34"/>
        <v>#NUM!</v>
      </c>
      <c r="K98" s="27" t="e">
        <f t="shared" si="35"/>
        <v>#NUM!</v>
      </c>
    </row>
    <row r="99" spans="1:11" x14ac:dyDescent="0.25">
      <c r="A99" s="26">
        <v>45323</v>
      </c>
      <c r="B99" s="19"/>
      <c r="C99" s="25" t="e">
        <f t="shared" si="29"/>
        <v>#NUM!</v>
      </c>
      <c r="D99" s="25" t="e">
        <f t="shared" si="30"/>
        <v>#NUM!</v>
      </c>
      <c r="E99" s="25"/>
      <c r="F99" s="25" t="e">
        <f t="shared" si="31"/>
        <v>#NUM!</v>
      </c>
      <c r="G99" s="25" t="e">
        <f t="shared" si="32"/>
        <v>#NUM!</v>
      </c>
      <c r="H99" s="25">
        <f>'Dados de demanda e evaporação'!$B$7</f>
        <v>0.6</v>
      </c>
      <c r="I99" s="25">
        <f t="shared" si="33"/>
        <v>0</v>
      </c>
      <c r="J99" s="25" t="e">
        <f t="shared" si="34"/>
        <v>#NUM!</v>
      </c>
      <c r="K99" s="25" t="e">
        <f t="shared" si="35"/>
        <v>#NUM!</v>
      </c>
    </row>
    <row r="100" spans="1:11" x14ac:dyDescent="0.25">
      <c r="A100" s="26">
        <v>45352</v>
      </c>
      <c r="B100" s="18"/>
      <c r="C100" s="24" t="e">
        <f t="shared" si="29"/>
        <v>#NUM!</v>
      </c>
      <c r="D100" s="24" t="e">
        <f t="shared" si="30"/>
        <v>#NUM!</v>
      </c>
      <c r="E100" s="24"/>
      <c r="F100" s="24" t="e">
        <f t="shared" si="31"/>
        <v>#NUM!</v>
      </c>
      <c r="G100" s="24" t="e">
        <f t="shared" si="32"/>
        <v>#NUM!</v>
      </c>
      <c r="H100" s="24">
        <f>'Dados de demanda e evaporação'!$B$7</f>
        <v>0.6</v>
      </c>
      <c r="I100" s="24">
        <f t="shared" si="33"/>
        <v>0</v>
      </c>
      <c r="J100" s="24" t="e">
        <f t="shared" si="34"/>
        <v>#NUM!</v>
      </c>
      <c r="K100" s="27" t="e">
        <f t="shared" si="35"/>
        <v>#NUM!</v>
      </c>
    </row>
    <row r="101" spans="1:11" x14ac:dyDescent="0.25">
      <c r="A101" s="26">
        <v>45383</v>
      </c>
      <c r="B101" s="19"/>
      <c r="C101" s="25" t="e">
        <f t="shared" si="29"/>
        <v>#NUM!</v>
      </c>
      <c r="D101" s="25" t="e">
        <f t="shared" si="30"/>
        <v>#NUM!</v>
      </c>
      <c r="E101" s="25"/>
      <c r="F101" s="25" t="e">
        <f t="shared" si="31"/>
        <v>#NUM!</v>
      </c>
      <c r="G101" s="25" t="e">
        <f t="shared" si="32"/>
        <v>#NUM!</v>
      </c>
      <c r="H101" s="25">
        <f>'Dados de demanda e evaporação'!$B$7</f>
        <v>0.6</v>
      </c>
      <c r="I101" s="25">
        <f t="shared" si="33"/>
        <v>0</v>
      </c>
      <c r="J101" s="25" t="e">
        <f t="shared" si="34"/>
        <v>#NUM!</v>
      </c>
      <c r="K101" s="25" t="e">
        <f t="shared" si="35"/>
        <v>#NUM!</v>
      </c>
    </row>
    <row r="102" spans="1:11" x14ac:dyDescent="0.25">
      <c r="A102" s="26">
        <v>45413</v>
      </c>
      <c r="B102" s="18"/>
      <c r="C102" s="24" t="e">
        <f t="shared" si="29"/>
        <v>#NUM!</v>
      </c>
      <c r="D102" s="24" t="e">
        <f t="shared" si="30"/>
        <v>#NUM!</v>
      </c>
      <c r="E102" s="24"/>
      <c r="F102" s="24" t="e">
        <f t="shared" si="31"/>
        <v>#NUM!</v>
      </c>
      <c r="G102" s="24" t="e">
        <f t="shared" si="32"/>
        <v>#NUM!</v>
      </c>
      <c r="H102" s="24">
        <f>'Dados de demanda e evaporação'!$B$7</f>
        <v>0.6</v>
      </c>
      <c r="I102" s="24">
        <f t="shared" si="33"/>
        <v>0</v>
      </c>
      <c r="J102" s="24" t="e">
        <f t="shared" si="34"/>
        <v>#NUM!</v>
      </c>
      <c r="K102" s="27" t="e">
        <f t="shared" si="35"/>
        <v>#NUM!</v>
      </c>
    </row>
    <row r="104" spans="1:11" x14ac:dyDescent="0.25">
      <c r="A104" s="23"/>
    </row>
    <row r="105" spans="1:11" x14ac:dyDescent="0.25">
      <c r="A105" s="23"/>
    </row>
    <row r="106" spans="1:11" x14ac:dyDescent="0.25">
      <c r="A106" s="23"/>
    </row>
    <row r="107" spans="1:11" x14ac:dyDescent="0.25">
      <c r="A107" s="23"/>
    </row>
    <row r="108" spans="1:11" x14ac:dyDescent="0.25">
      <c r="A108" s="23"/>
    </row>
    <row r="109" spans="1:11" x14ac:dyDescent="0.25">
      <c r="A109" s="23"/>
    </row>
    <row r="110" spans="1:11" x14ac:dyDescent="0.25">
      <c r="A110" s="23"/>
    </row>
    <row r="111" spans="1:11" x14ac:dyDescent="0.25">
      <c r="A111" s="23"/>
    </row>
  </sheetData>
  <mergeCells count="14">
    <mergeCell ref="G2:AC2"/>
    <mergeCell ref="G3:AC3"/>
    <mergeCell ref="B4:M4"/>
    <mergeCell ref="L67:P67"/>
    <mergeCell ref="A5:H6"/>
    <mergeCell ref="E9:F9"/>
    <mergeCell ref="A11:C11"/>
    <mergeCell ref="A9:C9"/>
    <mergeCell ref="A8:C8"/>
    <mergeCell ref="A10:C10"/>
    <mergeCell ref="M18:N18"/>
    <mergeCell ref="H14:I14"/>
    <mergeCell ref="E14:G14"/>
    <mergeCell ref="L24:O26"/>
  </mergeCells>
  <phoneticPr fontId="8" type="noConversion"/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ABD1-241A-46C7-ACE7-14B7F5D5FFAE}">
  <sheetPr>
    <tabColor theme="4"/>
  </sheetPr>
  <dimension ref="A1:AC112"/>
  <sheetViews>
    <sheetView topLeftCell="A13" workbookViewId="0">
      <selection activeCell="E10" sqref="E10:F10"/>
    </sheetView>
  </sheetViews>
  <sheetFormatPr defaultRowHeight="15" x14ac:dyDescent="0.25"/>
  <cols>
    <col min="1" max="1" width="9.42578125" style="2" bestFit="1" customWidth="1"/>
    <col min="2" max="2" width="26.85546875" style="2" bestFit="1" customWidth="1"/>
    <col min="3" max="3" width="17.7109375" style="2" customWidth="1"/>
    <col min="4" max="4" width="14.28515625" style="2" bestFit="1" customWidth="1"/>
    <col min="5" max="5" width="13.140625" style="2" customWidth="1"/>
    <col min="6" max="6" width="26.28515625" style="2" customWidth="1"/>
    <col min="7" max="7" width="20.28515625" style="2" customWidth="1"/>
    <col min="8" max="8" width="18.42578125" style="2" customWidth="1"/>
    <col min="9" max="9" width="31.28515625" style="2" bestFit="1" customWidth="1"/>
    <col min="10" max="10" width="22" style="2" customWidth="1"/>
    <col min="11" max="11" width="21.42578125" style="2" customWidth="1"/>
    <col min="15" max="15" width="14.28515625" bestFit="1" customWidth="1"/>
  </cols>
  <sheetData>
    <row r="1" spans="1:29" s="48" customFormat="1" ht="7.5" customHeight="1" x14ac:dyDescent="0.25"/>
    <row r="2" spans="1:29" s="49" customFormat="1" ht="57.95" customHeight="1" x14ac:dyDescent="0.25">
      <c r="G2" s="52" t="s">
        <v>0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spans="1:29" s="50" customFormat="1" ht="45" customHeight="1" thickBot="1" x14ac:dyDescent="0.3">
      <c r="G3" s="53" t="s">
        <v>1</v>
      </c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 spans="1:29" s="50" customFormat="1" ht="21" thickTop="1" thickBot="1" x14ac:dyDescent="0.3">
      <c r="B4" s="54" t="s">
        <v>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29" ht="16.5" thickTop="1" thickBot="1" x14ac:dyDescent="0.3"/>
    <row r="6" spans="1:29" ht="15" customHeight="1" x14ac:dyDescent="0.25">
      <c r="A6" s="61" t="s">
        <v>26</v>
      </c>
      <c r="B6" s="75"/>
      <c r="C6" s="75"/>
      <c r="D6" s="75"/>
      <c r="E6" s="75"/>
      <c r="F6" s="75"/>
      <c r="G6" s="75"/>
      <c r="H6" s="76"/>
    </row>
    <row r="7" spans="1:29" ht="15.75" thickBot="1" x14ac:dyDescent="0.3">
      <c r="A7" s="77"/>
      <c r="B7" s="78"/>
      <c r="C7" s="78"/>
      <c r="D7" s="78"/>
      <c r="E7" s="78"/>
      <c r="F7" s="78"/>
      <c r="G7" s="78"/>
      <c r="H7" s="79"/>
    </row>
    <row r="8" spans="1:29" ht="15.75" thickBot="1" x14ac:dyDescent="0.3"/>
    <row r="9" spans="1:29" ht="18" thickBot="1" x14ac:dyDescent="0.3">
      <c r="A9" s="68" t="s">
        <v>27</v>
      </c>
      <c r="B9" s="69"/>
      <c r="C9" s="70"/>
      <c r="D9" s="20">
        <f>49086672.63</f>
        <v>49086672.630000003</v>
      </c>
      <c r="E9" s="21"/>
      <c r="F9" s="2" t="s">
        <v>47</v>
      </c>
    </row>
    <row r="10" spans="1:29" ht="15.75" thickBot="1" x14ac:dyDescent="0.3">
      <c r="A10" s="68" t="s">
        <v>29</v>
      </c>
      <c r="B10" s="69"/>
      <c r="C10" s="70"/>
      <c r="D10" s="20">
        <v>411686287</v>
      </c>
      <c r="E10" s="67" t="s">
        <v>30</v>
      </c>
      <c r="F10" s="67"/>
    </row>
    <row r="11" spans="1:29" ht="15.75" thickBot="1" x14ac:dyDescent="0.3">
      <c r="A11" s="68" t="s">
        <v>31</v>
      </c>
      <c r="B11" s="69"/>
      <c r="C11" s="70"/>
      <c r="D11" s="20">
        <f>1%*$D$10</f>
        <v>4116862.87</v>
      </c>
    </row>
    <row r="12" spans="1:29" ht="15.75" thickBot="1" x14ac:dyDescent="0.3">
      <c r="A12" s="68" t="s">
        <v>32</v>
      </c>
      <c r="B12" s="69"/>
      <c r="C12" s="70"/>
      <c r="D12" s="20">
        <f>D10-D11</f>
        <v>407569424.13</v>
      </c>
    </row>
    <row r="16" spans="1:29" ht="17.25" x14ac:dyDescent="0.25">
      <c r="A16" s="33" t="s">
        <v>6</v>
      </c>
      <c r="B16" s="34" t="s">
        <v>35</v>
      </c>
      <c r="C16" s="34" t="s">
        <v>36</v>
      </c>
      <c r="D16" s="34" t="s">
        <v>4</v>
      </c>
      <c r="E16" s="34" t="s">
        <v>37</v>
      </c>
      <c r="F16" s="34" t="s">
        <v>38</v>
      </c>
      <c r="G16" s="34" t="s">
        <v>39</v>
      </c>
      <c r="H16" s="34" t="s">
        <v>40</v>
      </c>
      <c r="I16" s="34" t="s">
        <v>41</v>
      </c>
      <c r="J16" s="34" t="s">
        <v>42</v>
      </c>
      <c r="K16" s="35" t="s">
        <v>43</v>
      </c>
    </row>
    <row r="17" spans="1:15" x14ac:dyDescent="0.25">
      <c r="A17" s="26">
        <v>42401</v>
      </c>
      <c r="B17" s="18">
        <v>28</v>
      </c>
      <c r="C17" s="24">
        <f>$D$9</f>
        <v>49086672.630000003</v>
      </c>
      <c r="D17" s="24">
        <f>0.2297*(C17)+226886</f>
        <v>11502094.703111</v>
      </c>
      <c r="E17" s="24">
        <f>'Dados de demanda e evaporação'!$D8</f>
        <v>0.14280000000000001</v>
      </c>
      <c r="F17" s="24">
        <f t="shared" ref="F17:F80" si="0">E17*D17</f>
        <v>1642499.1236042511</v>
      </c>
      <c r="G17" s="24">
        <f>(C17-F17)</f>
        <v>47444173.50639575</v>
      </c>
      <c r="H17" s="24">
        <f>'Dados de demanda e evaporação'!$B$7</f>
        <v>0.6</v>
      </c>
      <c r="I17" s="24">
        <f t="shared" ref="I17:I48" si="1">H17*B17*(3600*24)</f>
        <v>1451520</v>
      </c>
      <c r="J17" s="24">
        <f>G17-I17</f>
        <v>45992653.50639575</v>
      </c>
      <c r="K17" s="27">
        <f>IF(J17&lt;$D$10,J17,$D$10)</f>
        <v>45992653.50639575</v>
      </c>
    </row>
    <row r="18" spans="1:15" x14ac:dyDescent="0.25">
      <c r="A18" s="26">
        <v>42826</v>
      </c>
      <c r="B18" s="19">
        <v>31</v>
      </c>
      <c r="C18" s="25">
        <f>K17</f>
        <v>45992653.50639575</v>
      </c>
      <c r="D18" s="25">
        <f t="shared" ref="D18:D81" si="2">22.256*C18^0.7153</f>
        <v>6738576.6502767392</v>
      </c>
      <c r="E18" s="25">
        <f>'Dados de demanda e evaporação'!$D9</f>
        <v>0.13950000000000001</v>
      </c>
      <c r="F18" s="25">
        <f t="shared" si="0"/>
        <v>940031.44271360524</v>
      </c>
      <c r="G18" s="25">
        <f t="shared" ref="G18:G81" si="3">(C18-F18)</f>
        <v>45052622.063682146</v>
      </c>
      <c r="H18" s="25">
        <f>'Dados de demanda e evaporação'!$B$7</f>
        <v>0.6</v>
      </c>
      <c r="I18" s="25">
        <f t="shared" si="1"/>
        <v>1607039.9999999998</v>
      </c>
      <c r="J18" s="25">
        <f t="shared" ref="J18:J81" si="4">G18-I18</f>
        <v>43445582.063682146</v>
      </c>
      <c r="K18" s="25">
        <f t="shared" ref="K18:K81" si="5">IF(J18&lt;$D$10,J18,$D$10)</f>
        <v>43445582.063682146</v>
      </c>
    </row>
    <row r="19" spans="1:15" x14ac:dyDescent="0.25">
      <c r="A19" s="26">
        <v>42856</v>
      </c>
      <c r="B19" s="18">
        <v>30</v>
      </c>
      <c r="C19" s="24">
        <f t="shared" ref="C19:C82" si="6">K18</f>
        <v>43445582.063682146</v>
      </c>
      <c r="D19" s="24">
        <f t="shared" si="2"/>
        <v>6469483.5763194235</v>
      </c>
      <c r="E19" s="24">
        <f>'Dados de demanda e evaporação'!$D10</f>
        <v>0.114</v>
      </c>
      <c r="F19" s="24">
        <f t="shared" si="0"/>
        <v>737521.12770041428</v>
      </c>
      <c r="G19" s="24">
        <f t="shared" si="3"/>
        <v>42708060.935981736</v>
      </c>
      <c r="H19" s="24">
        <f>'Dados de demanda e evaporação'!$B$7</f>
        <v>0.6</v>
      </c>
      <c r="I19" s="24">
        <f t="shared" si="1"/>
        <v>1555200</v>
      </c>
      <c r="J19" s="24">
        <f t="shared" si="4"/>
        <v>41152860.935981736</v>
      </c>
      <c r="K19" s="27">
        <f t="shared" si="5"/>
        <v>41152860.935981736</v>
      </c>
      <c r="M19" s="71" t="s">
        <v>44</v>
      </c>
      <c r="N19" s="71"/>
      <c r="O19" s="31">
        <f>MIN(K17:K24)</f>
        <v>30533270.308510765</v>
      </c>
    </row>
    <row r="20" spans="1:15" x14ac:dyDescent="0.25">
      <c r="A20" s="26">
        <v>42887</v>
      </c>
      <c r="B20" s="19">
        <v>31</v>
      </c>
      <c r="C20" s="25">
        <f t="shared" si="6"/>
        <v>41152860.935981736</v>
      </c>
      <c r="D20" s="25">
        <f t="shared" si="2"/>
        <v>6223396.2808588268</v>
      </c>
      <c r="E20" s="25">
        <f>'Dados de demanda e evaporação'!$D11</f>
        <v>8.9900000000000008E-2</v>
      </c>
      <c r="F20" s="25">
        <f t="shared" si="0"/>
        <v>559483.32564920862</v>
      </c>
      <c r="G20" s="25">
        <f t="shared" si="3"/>
        <v>40593377.610332526</v>
      </c>
      <c r="H20" s="25">
        <f>'Dados de demanda e evaporação'!$B$7</f>
        <v>0.6</v>
      </c>
      <c r="I20" s="25">
        <f t="shared" si="1"/>
        <v>1607039.9999999998</v>
      </c>
      <c r="J20" s="25">
        <f t="shared" si="4"/>
        <v>38986337.610332526</v>
      </c>
      <c r="K20" s="25">
        <f t="shared" si="5"/>
        <v>38986337.610332526</v>
      </c>
    </row>
    <row r="21" spans="1:15" x14ac:dyDescent="0.25">
      <c r="A21" s="26">
        <v>42917</v>
      </c>
      <c r="B21" s="18">
        <v>30</v>
      </c>
      <c r="C21" s="24">
        <f t="shared" si="6"/>
        <v>38986337.610332526</v>
      </c>
      <c r="D21" s="24">
        <f t="shared" si="2"/>
        <v>5987241.5606906237</v>
      </c>
      <c r="E21" s="24">
        <f>'Dados de demanda e evaporação'!$D12</f>
        <v>7.4999999999999997E-2</v>
      </c>
      <c r="F21" s="24">
        <f t="shared" si="0"/>
        <v>449043.11705179675</v>
      </c>
      <c r="G21" s="24">
        <f t="shared" si="3"/>
        <v>38537294.493280731</v>
      </c>
      <c r="H21" s="24">
        <f>'Dados de demanda e evaporação'!$B$7</f>
        <v>0.6</v>
      </c>
      <c r="I21" s="24">
        <f t="shared" si="1"/>
        <v>1555200</v>
      </c>
      <c r="J21" s="24">
        <f t="shared" si="4"/>
        <v>36982094.493280731</v>
      </c>
      <c r="K21" s="27">
        <f t="shared" si="5"/>
        <v>36982094.493280731</v>
      </c>
    </row>
    <row r="22" spans="1:15" x14ac:dyDescent="0.25">
      <c r="A22" s="26">
        <v>42948</v>
      </c>
      <c r="B22" s="19">
        <v>31</v>
      </c>
      <c r="C22" s="25">
        <f t="shared" si="6"/>
        <v>36982094.493280731</v>
      </c>
      <c r="D22" s="25">
        <f t="shared" si="2"/>
        <v>5765426.439780008</v>
      </c>
      <c r="E22" s="25">
        <f>'Dados de demanda e evaporação'!$D13</f>
        <v>8.0599999999999991E-2</v>
      </c>
      <c r="F22" s="25">
        <f t="shared" si="0"/>
        <v>464693.37104626861</v>
      </c>
      <c r="G22" s="25">
        <f t="shared" si="3"/>
        <v>36517401.122234464</v>
      </c>
      <c r="H22" s="25">
        <f>'Dados de demanda e evaporação'!$B$7</f>
        <v>0.6</v>
      </c>
      <c r="I22" s="25">
        <f t="shared" si="1"/>
        <v>1607039.9999999998</v>
      </c>
      <c r="J22" s="25">
        <f t="shared" si="4"/>
        <v>34910361.122234464</v>
      </c>
      <c r="K22" s="25">
        <f t="shared" si="5"/>
        <v>34910361.122234464</v>
      </c>
    </row>
    <row r="23" spans="1:15" x14ac:dyDescent="0.25">
      <c r="A23" s="26">
        <v>42979</v>
      </c>
      <c r="B23" s="18">
        <v>31</v>
      </c>
      <c r="C23" s="24">
        <f t="shared" si="6"/>
        <v>34910361.122234464</v>
      </c>
      <c r="D23" s="24">
        <f t="shared" si="2"/>
        <v>5532511.8521536943</v>
      </c>
      <c r="E23" s="24">
        <f>'Dados de demanda e evaporação'!$D14</f>
        <v>9.9199999999999997E-2</v>
      </c>
      <c r="F23" s="24">
        <f t="shared" si="0"/>
        <v>548825.17573364649</v>
      </c>
      <c r="G23" s="24">
        <f t="shared" si="3"/>
        <v>34361535.946500815</v>
      </c>
      <c r="H23" s="24">
        <f>'Dados de demanda e evaporação'!$B$7</f>
        <v>0.6</v>
      </c>
      <c r="I23" s="24">
        <f t="shared" si="1"/>
        <v>1607039.9999999998</v>
      </c>
      <c r="J23" s="24">
        <f t="shared" si="4"/>
        <v>32754495.946500815</v>
      </c>
      <c r="K23" s="27">
        <f t="shared" si="5"/>
        <v>32754495.946500815</v>
      </c>
    </row>
    <row r="24" spans="1:15" x14ac:dyDescent="0.25">
      <c r="A24" s="26">
        <v>43009</v>
      </c>
      <c r="B24" s="19">
        <v>30</v>
      </c>
      <c r="C24" s="25">
        <f t="shared" si="6"/>
        <v>32754495.946500815</v>
      </c>
      <c r="D24" s="25">
        <f t="shared" si="2"/>
        <v>5285917.7618257841</v>
      </c>
      <c r="E24" s="25">
        <f>'Dados de demanda e evaporação'!$D15</f>
        <v>0.126</v>
      </c>
      <c r="F24" s="25">
        <f t="shared" si="0"/>
        <v>666025.63799004885</v>
      </c>
      <c r="G24" s="25">
        <f t="shared" si="3"/>
        <v>32088470.308510765</v>
      </c>
      <c r="H24" s="25">
        <f>'Dados de demanda e evaporação'!$B$7</f>
        <v>0.6</v>
      </c>
      <c r="I24" s="25">
        <f t="shared" si="1"/>
        <v>1555200</v>
      </c>
      <c r="J24" s="25">
        <f t="shared" si="4"/>
        <v>30533270.308510765</v>
      </c>
      <c r="K24" s="25">
        <f t="shared" si="5"/>
        <v>30533270.308510765</v>
      </c>
    </row>
    <row r="25" spans="1:15" x14ac:dyDescent="0.25">
      <c r="A25" s="26">
        <v>43040</v>
      </c>
      <c r="B25" s="18">
        <v>31</v>
      </c>
      <c r="C25" s="24">
        <f t="shared" si="6"/>
        <v>30533270.308510765</v>
      </c>
      <c r="D25" s="24">
        <f t="shared" si="2"/>
        <v>5026960.4713047147</v>
      </c>
      <c r="E25" s="24">
        <f>'Dados de demanda e evaporação'!$D16</f>
        <v>0.15190000000000001</v>
      </c>
      <c r="F25" s="24">
        <f t="shared" si="0"/>
        <v>763595.29559118615</v>
      </c>
      <c r="G25" s="24">
        <f t="shared" si="3"/>
        <v>29769675.012919579</v>
      </c>
      <c r="H25" s="24">
        <f>'Dados de demanda e evaporação'!$B$7</f>
        <v>0.6</v>
      </c>
      <c r="I25" s="24">
        <f t="shared" si="1"/>
        <v>1607039.9999999998</v>
      </c>
      <c r="J25" s="24">
        <f t="shared" si="4"/>
        <v>28162635.012919579</v>
      </c>
      <c r="K25" s="27">
        <f t="shared" si="5"/>
        <v>28162635.012919579</v>
      </c>
    </row>
    <row r="26" spans="1:15" x14ac:dyDescent="0.25">
      <c r="A26" s="26">
        <v>43070</v>
      </c>
      <c r="B26" s="19">
        <v>30</v>
      </c>
      <c r="C26" s="25">
        <f t="shared" si="6"/>
        <v>28162635.012919579</v>
      </c>
      <c r="D26" s="25">
        <f t="shared" si="2"/>
        <v>4744587.0011403458</v>
      </c>
      <c r="E26" s="25">
        <f>'Dados de demanda e evaporação'!$D17</f>
        <v>0.156</v>
      </c>
      <c r="F26" s="25">
        <f t="shared" si="0"/>
        <v>740155.57217789395</v>
      </c>
      <c r="G26" s="25">
        <f t="shared" si="3"/>
        <v>27422479.440741684</v>
      </c>
      <c r="H26" s="25">
        <f>'Dados de demanda e evaporação'!$B$7</f>
        <v>0.6</v>
      </c>
      <c r="I26" s="25">
        <f t="shared" si="1"/>
        <v>1555200</v>
      </c>
      <c r="J26" s="25">
        <f t="shared" si="4"/>
        <v>25867279.440741684</v>
      </c>
      <c r="K26" s="25">
        <f t="shared" si="5"/>
        <v>25867279.440741684</v>
      </c>
    </row>
    <row r="27" spans="1:15" x14ac:dyDescent="0.25">
      <c r="A27" s="26">
        <v>43101</v>
      </c>
      <c r="B27" s="18">
        <v>31</v>
      </c>
      <c r="C27" s="24">
        <f t="shared" si="6"/>
        <v>25867279.440741684</v>
      </c>
      <c r="D27" s="24">
        <f t="shared" si="2"/>
        <v>4464653.1751278276</v>
      </c>
      <c r="E27" s="24">
        <f>'Dados de demanda e evaporação'!$D$7</f>
        <v>0.16119999999999998</v>
      </c>
      <c r="F27" s="24">
        <f t="shared" si="0"/>
        <v>719702.09183060576</v>
      </c>
      <c r="G27" s="24">
        <f t="shared" si="3"/>
        <v>25147577.348911077</v>
      </c>
      <c r="H27" s="24">
        <f>'Dados de demanda e evaporação'!$B$7</f>
        <v>0.6</v>
      </c>
      <c r="I27" s="24">
        <f t="shared" si="1"/>
        <v>1607039.9999999998</v>
      </c>
      <c r="J27" s="24">
        <f t="shared" si="4"/>
        <v>23540537.348911077</v>
      </c>
      <c r="K27" s="27">
        <f t="shared" si="5"/>
        <v>23540537.348911077</v>
      </c>
    </row>
    <row r="28" spans="1:15" x14ac:dyDescent="0.25">
      <c r="A28" s="26">
        <v>43132</v>
      </c>
      <c r="B28" s="19">
        <v>31</v>
      </c>
      <c r="C28" s="25">
        <f t="shared" si="6"/>
        <v>23540537.348911077</v>
      </c>
      <c r="D28" s="25">
        <f t="shared" si="2"/>
        <v>4173566.7480192073</v>
      </c>
      <c r="E28" s="25">
        <f>'Dados de demanda e evaporação'!$D$8</f>
        <v>0.14280000000000001</v>
      </c>
      <c r="F28" s="25">
        <f t="shared" si="0"/>
        <v>595985.33161714289</v>
      </c>
      <c r="G28" s="25">
        <f t="shared" si="3"/>
        <v>22944552.017293934</v>
      </c>
      <c r="H28" s="25">
        <f>'Dados de demanda e evaporação'!$B$7</f>
        <v>0.6</v>
      </c>
      <c r="I28" s="25">
        <f t="shared" si="1"/>
        <v>1607039.9999999998</v>
      </c>
      <c r="J28" s="25">
        <f t="shared" si="4"/>
        <v>21337512.017293934</v>
      </c>
      <c r="K28" s="25">
        <f t="shared" si="5"/>
        <v>21337512.017293934</v>
      </c>
    </row>
    <row r="29" spans="1:15" x14ac:dyDescent="0.25">
      <c r="A29" s="26">
        <v>43160</v>
      </c>
      <c r="B29" s="18">
        <v>28</v>
      </c>
      <c r="C29" s="24">
        <f t="shared" si="6"/>
        <v>21337512.017293934</v>
      </c>
      <c r="D29" s="24">
        <f t="shared" si="2"/>
        <v>3890305.0556009789</v>
      </c>
      <c r="E29" s="24">
        <f>'Dados de demanda e evaporação'!$D$9</f>
        <v>0.13950000000000001</v>
      </c>
      <c r="F29" s="24">
        <f t="shared" si="0"/>
        <v>542697.55525633658</v>
      </c>
      <c r="G29" s="24">
        <f t="shared" si="3"/>
        <v>20794814.462037597</v>
      </c>
      <c r="H29" s="24">
        <f>'Dados de demanda e evaporação'!$B$7</f>
        <v>0.6</v>
      </c>
      <c r="I29" s="24">
        <f t="shared" si="1"/>
        <v>1451520</v>
      </c>
      <c r="J29" s="24">
        <f t="shared" si="4"/>
        <v>19343294.462037597</v>
      </c>
      <c r="K29" s="27">
        <f t="shared" si="5"/>
        <v>19343294.462037597</v>
      </c>
    </row>
    <row r="30" spans="1:15" x14ac:dyDescent="0.25">
      <c r="A30" s="26">
        <v>43191</v>
      </c>
      <c r="B30" s="19">
        <v>31</v>
      </c>
      <c r="C30" s="25">
        <f t="shared" si="6"/>
        <v>19343294.462037597</v>
      </c>
      <c r="D30" s="25">
        <f t="shared" si="2"/>
        <v>3626622.3911615922</v>
      </c>
      <c r="E30" s="25">
        <f>'Dados de demanda e evaporação'!$D$10</f>
        <v>0.114</v>
      </c>
      <c r="F30" s="25">
        <f t="shared" si="0"/>
        <v>413434.95259242156</v>
      </c>
      <c r="G30" s="25">
        <f t="shared" si="3"/>
        <v>18929859.509445176</v>
      </c>
      <c r="H30" s="25">
        <f>'Dados de demanda e evaporação'!$B$7</f>
        <v>0.6</v>
      </c>
      <c r="I30" s="25">
        <f t="shared" si="1"/>
        <v>1607039.9999999998</v>
      </c>
      <c r="J30" s="25">
        <f t="shared" si="4"/>
        <v>17322819.509445176</v>
      </c>
      <c r="K30" s="25">
        <f t="shared" si="5"/>
        <v>17322819.509445176</v>
      </c>
    </row>
    <row r="31" spans="1:15" x14ac:dyDescent="0.25">
      <c r="A31" s="26">
        <v>43221</v>
      </c>
      <c r="B31" s="18">
        <v>30</v>
      </c>
      <c r="C31" s="24">
        <f t="shared" si="6"/>
        <v>17322819.509445176</v>
      </c>
      <c r="D31" s="24">
        <f t="shared" si="2"/>
        <v>3351436.4075108748</v>
      </c>
      <c r="E31" s="24">
        <f>'Dados de demanda e evaporação'!$D$11</f>
        <v>8.9900000000000008E-2</v>
      </c>
      <c r="F31" s="24">
        <f t="shared" si="0"/>
        <v>301294.13303522766</v>
      </c>
      <c r="G31" s="24">
        <f t="shared" si="3"/>
        <v>17021525.376409948</v>
      </c>
      <c r="H31" s="24">
        <f>'Dados de demanda e evaporação'!$B$7</f>
        <v>0.6</v>
      </c>
      <c r="I31" s="24">
        <f t="shared" si="1"/>
        <v>1555200</v>
      </c>
      <c r="J31" s="24">
        <f t="shared" si="4"/>
        <v>15466325.376409948</v>
      </c>
      <c r="K31" s="27">
        <f t="shared" si="5"/>
        <v>15466325.376409948</v>
      </c>
    </row>
    <row r="32" spans="1:15" x14ac:dyDescent="0.25">
      <c r="A32" s="26">
        <v>43252</v>
      </c>
      <c r="B32" s="19">
        <v>31</v>
      </c>
      <c r="C32" s="25">
        <f t="shared" si="6"/>
        <v>15466325.376409948</v>
      </c>
      <c r="D32" s="25">
        <f t="shared" si="2"/>
        <v>3090407.4044534988</v>
      </c>
      <c r="E32" s="25">
        <f>'Dados de demanda e evaporação'!$D$12</f>
        <v>7.4999999999999997E-2</v>
      </c>
      <c r="F32" s="25">
        <f t="shared" si="0"/>
        <v>231780.5553340124</v>
      </c>
      <c r="G32" s="25">
        <f t="shared" si="3"/>
        <v>15234544.821075935</v>
      </c>
      <c r="H32" s="25">
        <f>'Dados de demanda e evaporação'!$B$7</f>
        <v>0.6</v>
      </c>
      <c r="I32" s="25">
        <f t="shared" si="1"/>
        <v>1607039.9999999998</v>
      </c>
      <c r="J32" s="25">
        <f t="shared" si="4"/>
        <v>13627504.821075935</v>
      </c>
      <c r="K32" s="25">
        <f t="shared" si="5"/>
        <v>13627504.821075935</v>
      </c>
    </row>
    <row r="33" spans="1:11" x14ac:dyDescent="0.25">
      <c r="A33" s="26">
        <v>43282</v>
      </c>
      <c r="B33" s="18">
        <v>30</v>
      </c>
      <c r="C33" s="24">
        <f t="shared" si="6"/>
        <v>13627504.821075935</v>
      </c>
      <c r="D33" s="24">
        <f t="shared" si="2"/>
        <v>2822897.5952024129</v>
      </c>
      <c r="E33" s="24">
        <f>'Dados de demanda e evaporação'!$D$13</f>
        <v>8.0599999999999991E-2</v>
      </c>
      <c r="F33" s="24">
        <f t="shared" si="0"/>
        <v>227525.54617331445</v>
      </c>
      <c r="G33" s="24">
        <f t="shared" si="3"/>
        <v>13399979.274902621</v>
      </c>
      <c r="H33" s="24">
        <f>'Dados de demanda e evaporação'!$B$7</f>
        <v>0.6</v>
      </c>
      <c r="I33" s="24">
        <f t="shared" si="1"/>
        <v>1555200</v>
      </c>
      <c r="J33" s="24">
        <f t="shared" si="4"/>
        <v>11844779.274902621</v>
      </c>
      <c r="K33" s="27">
        <f t="shared" si="5"/>
        <v>11844779.274902621</v>
      </c>
    </row>
    <row r="34" spans="1:11" x14ac:dyDescent="0.25">
      <c r="A34" s="26">
        <v>43313</v>
      </c>
      <c r="B34" s="19">
        <v>31</v>
      </c>
      <c r="C34" s="25">
        <f t="shared" si="6"/>
        <v>11844779.274902621</v>
      </c>
      <c r="D34" s="25">
        <f t="shared" si="2"/>
        <v>2553529.9489451838</v>
      </c>
      <c r="E34" s="25">
        <f>'Dados de demanda e evaporação'!$D$14</f>
        <v>9.9199999999999997E-2</v>
      </c>
      <c r="F34" s="25">
        <f t="shared" si="0"/>
        <v>253310.17093536223</v>
      </c>
      <c r="G34" s="25">
        <f t="shared" si="3"/>
        <v>11591469.103967259</v>
      </c>
      <c r="H34" s="25">
        <f>'Dados de demanda e evaporação'!$B$7</f>
        <v>0.6</v>
      </c>
      <c r="I34" s="25">
        <f t="shared" si="1"/>
        <v>1607039.9999999998</v>
      </c>
      <c r="J34" s="25">
        <f t="shared" si="4"/>
        <v>9984429.1039672587</v>
      </c>
      <c r="K34" s="25">
        <f t="shared" si="5"/>
        <v>9984429.1039672587</v>
      </c>
    </row>
    <row r="35" spans="1:11" x14ac:dyDescent="0.25">
      <c r="A35" s="26">
        <v>43344</v>
      </c>
      <c r="B35" s="18">
        <v>31</v>
      </c>
      <c r="C35" s="24">
        <f t="shared" si="6"/>
        <v>9984429.1039672587</v>
      </c>
      <c r="D35" s="24">
        <f t="shared" si="2"/>
        <v>2259763.6815261752</v>
      </c>
      <c r="E35" s="24">
        <f>'Dados de demanda e evaporação'!$D$15</f>
        <v>0.126</v>
      </c>
      <c r="F35" s="24">
        <f t="shared" si="0"/>
        <v>284730.22387229808</v>
      </c>
      <c r="G35" s="24">
        <f t="shared" si="3"/>
        <v>9699698.8800949603</v>
      </c>
      <c r="H35" s="24">
        <f>'Dados de demanda e evaporação'!$B$7</f>
        <v>0.6</v>
      </c>
      <c r="I35" s="24">
        <f t="shared" si="1"/>
        <v>1607039.9999999998</v>
      </c>
      <c r="J35" s="24">
        <f t="shared" si="4"/>
        <v>8092658.8800949603</v>
      </c>
      <c r="K35" s="27">
        <f t="shared" si="5"/>
        <v>8092658.8800949603</v>
      </c>
    </row>
    <row r="36" spans="1:11" x14ac:dyDescent="0.25">
      <c r="A36" s="26">
        <v>43374</v>
      </c>
      <c r="B36" s="19">
        <v>30</v>
      </c>
      <c r="C36" s="25">
        <f t="shared" si="6"/>
        <v>8092658.8800949603</v>
      </c>
      <c r="D36" s="25">
        <f t="shared" si="2"/>
        <v>1944485.7852764595</v>
      </c>
      <c r="E36" s="25">
        <f>'Dados de demanda e evaporação'!$D$16</f>
        <v>0.15190000000000001</v>
      </c>
      <c r="F36" s="25">
        <f t="shared" si="0"/>
        <v>295367.39078349422</v>
      </c>
      <c r="G36" s="25">
        <f t="shared" si="3"/>
        <v>7797291.489311466</v>
      </c>
      <c r="H36" s="25">
        <f>'Dados de demanda e evaporação'!$B$7</f>
        <v>0.6</v>
      </c>
      <c r="I36" s="25">
        <f t="shared" si="1"/>
        <v>1555200</v>
      </c>
      <c r="J36" s="25">
        <f t="shared" si="4"/>
        <v>6242091.489311466</v>
      </c>
      <c r="K36" s="25">
        <f t="shared" si="5"/>
        <v>6242091.489311466</v>
      </c>
    </row>
    <row r="37" spans="1:11" x14ac:dyDescent="0.25">
      <c r="A37" s="26">
        <v>43405</v>
      </c>
      <c r="B37" s="18">
        <v>31</v>
      </c>
      <c r="C37" s="24">
        <f t="shared" si="6"/>
        <v>6242091.489311466</v>
      </c>
      <c r="D37" s="24">
        <f t="shared" si="2"/>
        <v>1614904.1644001871</v>
      </c>
      <c r="E37" s="24">
        <f>'Dados de demanda e evaporação'!$D$17</f>
        <v>0.156</v>
      </c>
      <c r="F37" s="24">
        <f t="shared" si="0"/>
        <v>251925.04964642919</v>
      </c>
      <c r="G37" s="24">
        <f t="shared" si="3"/>
        <v>5990166.4396650372</v>
      </c>
      <c r="H37" s="24">
        <f>'Dados de demanda e evaporação'!$B$7</f>
        <v>0.6</v>
      </c>
      <c r="I37" s="24">
        <f t="shared" si="1"/>
        <v>1607039.9999999998</v>
      </c>
      <c r="J37" s="24">
        <f t="shared" si="4"/>
        <v>4383126.4396650372</v>
      </c>
      <c r="K37" s="27">
        <f t="shared" si="5"/>
        <v>4383126.4396650372</v>
      </c>
    </row>
    <row r="38" spans="1:11" x14ac:dyDescent="0.25">
      <c r="A38" s="26">
        <v>43435</v>
      </c>
      <c r="B38" s="19">
        <v>30</v>
      </c>
      <c r="C38" s="25">
        <f t="shared" si="6"/>
        <v>4383126.4396650372</v>
      </c>
      <c r="D38" s="25">
        <f t="shared" si="2"/>
        <v>1254051.0237470572</v>
      </c>
      <c r="E38" s="25">
        <f>'Dados de demanda e evaporação'!$D$18</f>
        <v>0.16119999999999998</v>
      </c>
      <c r="F38" s="25">
        <f t="shared" si="0"/>
        <v>202153.02502802559</v>
      </c>
      <c r="G38" s="25">
        <f t="shared" si="3"/>
        <v>4180973.4146370115</v>
      </c>
      <c r="H38" s="25">
        <f>'Dados de demanda e evaporação'!$B$7</f>
        <v>0.6</v>
      </c>
      <c r="I38" s="25">
        <f t="shared" si="1"/>
        <v>1555200</v>
      </c>
      <c r="J38" s="25">
        <f t="shared" si="4"/>
        <v>2625773.4146370115</v>
      </c>
      <c r="K38" s="25">
        <f t="shared" si="5"/>
        <v>2625773.4146370115</v>
      </c>
    </row>
    <row r="39" spans="1:11" x14ac:dyDescent="0.25">
      <c r="A39" s="26">
        <v>43466</v>
      </c>
      <c r="B39" s="18">
        <v>31</v>
      </c>
      <c r="C39" s="24">
        <f t="shared" si="6"/>
        <v>2625773.4146370115</v>
      </c>
      <c r="D39" s="24">
        <f t="shared" si="2"/>
        <v>869244.23960992321</v>
      </c>
      <c r="E39" s="24">
        <f>'Dados de demanda e evaporação'!$D$7</f>
        <v>0.16119999999999998</v>
      </c>
      <c r="F39" s="24">
        <f t="shared" si="0"/>
        <v>140122.1714251196</v>
      </c>
      <c r="G39" s="24">
        <f t="shared" si="3"/>
        <v>2485651.243211892</v>
      </c>
      <c r="H39" s="24">
        <f>'Dados de demanda e evaporação'!$B$7</f>
        <v>0.6</v>
      </c>
      <c r="I39" s="24">
        <f t="shared" si="1"/>
        <v>1607039.9999999998</v>
      </c>
      <c r="J39" s="24">
        <f t="shared" si="4"/>
        <v>878611.2432118922</v>
      </c>
      <c r="K39" s="27">
        <f t="shared" si="5"/>
        <v>878611.2432118922</v>
      </c>
    </row>
    <row r="40" spans="1:11" x14ac:dyDescent="0.25">
      <c r="A40" s="32">
        <v>43497</v>
      </c>
      <c r="B40" s="36">
        <v>31</v>
      </c>
      <c r="C40" s="37">
        <f>K39</f>
        <v>878611.2432118922</v>
      </c>
      <c r="D40" s="37">
        <f t="shared" si="2"/>
        <v>397232.6454228746</v>
      </c>
      <c r="E40" s="37">
        <f>'Dados de demanda e evaporação'!$D$8</f>
        <v>0.14280000000000001</v>
      </c>
      <c r="F40" s="37">
        <f t="shared" si="0"/>
        <v>56724.8217663865</v>
      </c>
      <c r="G40" s="37">
        <f t="shared" si="3"/>
        <v>821886.42144550569</v>
      </c>
      <c r="H40" s="37">
        <f>'Dados de demanda e evaporação'!$B$7</f>
        <v>0.6</v>
      </c>
      <c r="I40" s="37">
        <f t="shared" si="1"/>
        <v>1607039.9999999998</v>
      </c>
      <c r="J40" s="37">
        <f t="shared" si="4"/>
        <v>-785153.57855449407</v>
      </c>
      <c r="K40" s="37">
        <f t="shared" si="5"/>
        <v>-785153.57855449407</v>
      </c>
    </row>
    <row r="41" spans="1:11" x14ac:dyDescent="0.25">
      <c r="A41" s="26">
        <v>43525</v>
      </c>
      <c r="B41" s="18">
        <v>28</v>
      </c>
      <c r="C41" s="24">
        <f t="shared" si="6"/>
        <v>-785153.57855449407</v>
      </c>
      <c r="D41" s="24" t="e">
        <f t="shared" si="2"/>
        <v>#NUM!</v>
      </c>
      <c r="E41" s="24">
        <f>'Dados de demanda e evaporação'!$D$9</f>
        <v>0.13950000000000001</v>
      </c>
      <c r="F41" s="24" t="e">
        <f t="shared" si="0"/>
        <v>#NUM!</v>
      </c>
      <c r="G41" s="24" t="e">
        <f t="shared" si="3"/>
        <v>#NUM!</v>
      </c>
      <c r="H41" s="24">
        <f>'Dados de demanda e evaporação'!$B$7</f>
        <v>0.6</v>
      </c>
      <c r="I41" s="24">
        <f t="shared" si="1"/>
        <v>1451520</v>
      </c>
      <c r="J41" s="24" t="e">
        <f t="shared" si="4"/>
        <v>#NUM!</v>
      </c>
      <c r="K41" s="27" t="e">
        <f t="shared" si="5"/>
        <v>#NUM!</v>
      </c>
    </row>
    <row r="42" spans="1:11" x14ac:dyDescent="0.25">
      <c r="A42" s="26">
        <v>43556</v>
      </c>
      <c r="B42" s="19">
        <v>31</v>
      </c>
      <c r="C42" s="25" t="e">
        <f t="shared" si="6"/>
        <v>#NUM!</v>
      </c>
      <c r="D42" s="25" t="e">
        <f t="shared" si="2"/>
        <v>#NUM!</v>
      </c>
      <c r="E42" s="25">
        <f>'Dados de demanda e evaporação'!$D$10</f>
        <v>0.114</v>
      </c>
      <c r="F42" s="25" t="e">
        <f t="shared" si="0"/>
        <v>#NUM!</v>
      </c>
      <c r="G42" s="25" t="e">
        <f t="shared" si="3"/>
        <v>#NUM!</v>
      </c>
      <c r="H42" s="25">
        <f>'Dados de demanda e evaporação'!$B$7</f>
        <v>0.6</v>
      </c>
      <c r="I42" s="25">
        <f t="shared" si="1"/>
        <v>1607039.9999999998</v>
      </c>
      <c r="J42" s="25" t="e">
        <f t="shared" si="4"/>
        <v>#NUM!</v>
      </c>
      <c r="K42" s="25" t="e">
        <f t="shared" si="5"/>
        <v>#NUM!</v>
      </c>
    </row>
    <row r="43" spans="1:11" x14ac:dyDescent="0.25">
      <c r="A43" s="26">
        <v>43586</v>
      </c>
      <c r="B43" s="18">
        <v>30</v>
      </c>
      <c r="C43" s="24" t="e">
        <f t="shared" si="6"/>
        <v>#NUM!</v>
      </c>
      <c r="D43" s="24" t="e">
        <f t="shared" si="2"/>
        <v>#NUM!</v>
      </c>
      <c r="E43" s="24">
        <f>'Dados de demanda e evaporação'!$D$11</f>
        <v>8.9900000000000008E-2</v>
      </c>
      <c r="F43" s="24" t="e">
        <f t="shared" si="0"/>
        <v>#NUM!</v>
      </c>
      <c r="G43" s="24" t="e">
        <f t="shared" si="3"/>
        <v>#NUM!</v>
      </c>
      <c r="H43" s="24">
        <f>'Dados de demanda e evaporação'!$B$7</f>
        <v>0.6</v>
      </c>
      <c r="I43" s="24">
        <f t="shared" si="1"/>
        <v>1555200</v>
      </c>
      <c r="J43" s="24" t="e">
        <f t="shared" si="4"/>
        <v>#NUM!</v>
      </c>
      <c r="K43" s="27" t="e">
        <f t="shared" si="5"/>
        <v>#NUM!</v>
      </c>
    </row>
    <row r="44" spans="1:11" x14ac:dyDescent="0.25">
      <c r="A44" s="26">
        <v>43617</v>
      </c>
      <c r="B44" s="19">
        <v>31</v>
      </c>
      <c r="C44" s="25" t="e">
        <f t="shared" si="6"/>
        <v>#NUM!</v>
      </c>
      <c r="D44" s="25" t="e">
        <f t="shared" si="2"/>
        <v>#NUM!</v>
      </c>
      <c r="E44" s="25">
        <f>'Dados de demanda e evaporação'!$D$12</f>
        <v>7.4999999999999997E-2</v>
      </c>
      <c r="F44" s="25" t="e">
        <f t="shared" si="0"/>
        <v>#NUM!</v>
      </c>
      <c r="G44" s="25" t="e">
        <f t="shared" si="3"/>
        <v>#NUM!</v>
      </c>
      <c r="H44" s="25">
        <f>'Dados de demanda e evaporação'!$B$7</f>
        <v>0.6</v>
      </c>
      <c r="I44" s="25">
        <f t="shared" si="1"/>
        <v>1607039.9999999998</v>
      </c>
      <c r="J44" s="25" t="e">
        <f t="shared" si="4"/>
        <v>#NUM!</v>
      </c>
      <c r="K44" s="25" t="e">
        <f t="shared" si="5"/>
        <v>#NUM!</v>
      </c>
    </row>
    <row r="45" spans="1:11" x14ac:dyDescent="0.25">
      <c r="A45" s="26">
        <v>43647</v>
      </c>
      <c r="B45" s="18">
        <v>30</v>
      </c>
      <c r="C45" s="24" t="e">
        <f t="shared" si="6"/>
        <v>#NUM!</v>
      </c>
      <c r="D45" s="24" t="e">
        <f t="shared" si="2"/>
        <v>#NUM!</v>
      </c>
      <c r="E45" s="24">
        <f>'Dados de demanda e evaporação'!$D$13</f>
        <v>8.0599999999999991E-2</v>
      </c>
      <c r="F45" s="24" t="e">
        <f t="shared" si="0"/>
        <v>#NUM!</v>
      </c>
      <c r="G45" s="24" t="e">
        <f t="shared" si="3"/>
        <v>#NUM!</v>
      </c>
      <c r="H45" s="24">
        <f>'Dados de demanda e evaporação'!$B$7</f>
        <v>0.6</v>
      </c>
      <c r="I45" s="24">
        <f t="shared" si="1"/>
        <v>1555200</v>
      </c>
      <c r="J45" s="24" t="e">
        <f t="shared" si="4"/>
        <v>#NUM!</v>
      </c>
      <c r="K45" s="27" t="e">
        <f t="shared" si="5"/>
        <v>#NUM!</v>
      </c>
    </row>
    <row r="46" spans="1:11" x14ac:dyDescent="0.25">
      <c r="A46" s="26">
        <v>43678</v>
      </c>
      <c r="B46" s="19">
        <v>31</v>
      </c>
      <c r="C46" s="25" t="e">
        <f t="shared" si="6"/>
        <v>#NUM!</v>
      </c>
      <c r="D46" s="25" t="e">
        <f t="shared" si="2"/>
        <v>#NUM!</v>
      </c>
      <c r="E46" s="25">
        <f>'Dados de demanda e evaporação'!$D$14</f>
        <v>9.9199999999999997E-2</v>
      </c>
      <c r="F46" s="25" t="e">
        <f t="shared" si="0"/>
        <v>#NUM!</v>
      </c>
      <c r="G46" s="25" t="e">
        <f t="shared" si="3"/>
        <v>#NUM!</v>
      </c>
      <c r="H46" s="25">
        <f>'Dados de demanda e evaporação'!$B$7</f>
        <v>0.6</v>
      </c>
      <c r="I46" s="25">
        <f t="shared" si="1"/>
        <v>1607039.9999999998</v>
      </c>
      <c r="J46" s="25" t="e">
        <f t="shared" si="4"/>
        <v>#NUM!</v>
      </c>
      <c r="K46" s="25" t="e">
        <f t="shared" si="5"/>
        <v>#NUM!</v>
      </c>
    </row>
    <row r="47" spans="1:11" x14ac:dyDescent="0.25">
      <c r="A47" s="26">
        <v>43709</v>
      </c>
      <c r="B47" s="18">
        <v>31</v>
      </c>
      <c r="C47" s="24" t="e">
        <f t="shared" si="6"/>
        <v>#NUM!</v>
      </c>
      <c r="D47" s="24" t="e">
        <f t="shared" si="2"/>
        <v>#NUM!</v>
      </c>
      <c r="E47" s="24">
        <f>'Dados de demanda e evaporação'!$D$15</f>
        <v>0.126</v>
      </c>
      <c r="F47" s="24" t="e">
        <f t="shared" si="0"/>
        <v>#NUM!</v>
      </c>
      <c r="G47" s="24" t="e">
        <f t="shared" si="3"/>
        <v>#NUM!</v>
      </c>
      <c r="H47" s="24">
        <f>'Dados de demanda e evaporação'!$B$7</f>
        <v>0.6</v>
      </c>
      <c r="I47" s="24">
        <f t="shared" si="1"/>
        <v>1607039.9999999998</v>
      </c>
      <c r="J47" s="24" t="e">
        <f t="shared" si="4"/>
        <v>#NUM!</v>
      </c>
      <c r="K47" s="27" t="e">
        <f t="shared" si="5"/>
        <v>#NUM!</v>
      </c>
    </row>
    <row r="48" spans="1:11" x14ac:dyDescent="0.25">
      <c r="A48" s="26">
        <v>43739</v>
      </c>
      <c r="B48" s="19">
        <v>30</v>
      </c>
      <c r="C48" s="25" t="e">
        <f t="shared" si="6"/>
        <v>#NUM!</v>
      </c>
      <c r="D48" s="25" t="e">
        <f t="shared" si="2"/>
        <v>#NUM!</v>
      </c>
      <c r="E48" s="25">
        <f>'Dados de demanda e evaporação'!$D$16</f>
        <v>0.15190000000000001</v>
      </c>
      <c r="F48" s="25" t="e">
        <f t="shared" si="0"/>
        <v>#NUM!</v>
      </c>
      <c r="G48" s="25" t="e">
        <f t="shared" si="3"/>
        <v>#NUM!</v>
      </c>
      <c r="H48" s="25">
        <f>'Dados de demanda e evaporação'!$B$7</f>
        <v>0.6</v>
      </c>
      <c r="I48" s="25">
        <f t="shared" si="1"/>
        <v>1555200</v>
      </c>
      <c r="J48" s="25" t="e">
        <f t="shared" si="4"/>
        <v>#NUM!</v>
      </c>
      <c r="K48" s="25" t="e">
        <f t="shared" si="5"/>
        <v>#NUM!</v>
      </c>
    </row>
    <row r="49" spans="1:11" x14ac:dyDescent="0.25">
      <c r="A49" s="26">
        <v>43770</v>
      </c>
      <c r="B49" s="18">
        <v>31</v>
      </c>
      <c r="C49" s="24" t="e">
        <f t="shared" si="6"/>
        <v>#NUM!</v>
      </c>
      <c r="D49" s="24" t="e">
        <f t="shared" si="2"/>
        <v>#NUM!</v>
      </c>
      <c r="E49" s="24">
        <f>'Dados de demanda e evaporação'!$D$17</f>
        <v>0.156</v>
      </c>
      <c r="F49" s="24" t="e">
        <f t="shared" si="0"/>
        <v>#NUM!</v>
      </c>
      <c r="G49" s="24" t="e">
        <f t="shared" si="3"/>
        <v>#NUM!</v>
      </c>
      <c r="H49" s="24">
        <f>'Dados de demanda e evaporação'!$B$7</f>
        <v>0.6</v>
      </c>
      <c r="I49" s="24">
        <f t="shared" ref="I49:I71" si="7">H49*B49*(3600*24)</f>
        <v>1607039.9999999998</v>
      </c>
      <c r="J49" s="24" t="e">
        <f t="shared" si="4"/>
        <v>#NUM!</v>
      </c>
      <c r="K49" s="27" t="e">
        <f t="shared" si="5"/>
        <v>#NUM!</v>
      </c>
    </row>
    <row r="50" spans="1:11" x14ac:dyDescent="0.25">
      <c r="A50" s="26">
        <v>43800</v>
      </c>
      <c r="B50" s="19">
        <v>30</v>
      </c>
      <c r="C50" s="25" t="e">
        <f t="shared" si="6"/>
        <v>#NUM!</v>
      </c>
      <c r="D50" s="25" t="e">
        <f t="shared" si="2"/>
        <v>#NUM!</v>
      </c>
      <c r="E50" s="25">
        <f>'Dados de demanda e evaporação'!$D$18</f>
        <v>0.16119999999999998</v>
      </c>
      <c r="F50" s="25" t="e">
        <f t="shared" si="0"/>
        <v>#NUM!</v>
      </c>
      <c r="G50" s="25" t="e">
        <f t="shared" si="3"/>
        <v>#NUM!</v>
      </c>
      <c r="H50" s="25">
        <f>'Dados de demanda e evaporação'!$B$7</f>
        <v>0.6</v>
      </c>
      <c r="I50" s="25">
        <f t="shared" si="7"/>
        <v>1555200</v>
      </c>
      <c r="J50" s="25" t="e">
        <f t="shared" si="4"/>
        <v>#NUM!</v>
      </c>
      <c r="K50" s="25" t="e">
        <f t="shared" si="5"/>
        <v>#NUM!</v>
      </c>
    </row>
    <row r="51" spans="1:11" x14ac:dyDescent="0.25">
      <c r="A51" s="26">
        <v>43831</v>
      </c>
      <c r="B51" s="18">
        <v>31</v>
      </c>
      <c r="C51" s="24" t="e">
        <f t="shared" si="6"/>
        <v>#NUM!</v>
      </c>
      <c r="D51" s="24" t="e">
        <f t="shared" si="2"/>
        <v>#NUM!</v>
      </c>
      <c r="E51" s="24">
        <f>'Dados de demanda e evaporação'!$D$7</f>
        <v>0.16119999999999998</v>
      </c>
      <c r="F51" s="24" t="e">
        <f t="shared" si="0"/>
        <v>#NUM!</v>
      </c>
      <c r="G51" s="24" t="e">
        <f t="shared" si="3"/>
        <v>#NUM!</v>
      </c>
      <c r="H51" s="24">
        <f>'Dados de demanda e evaporação'!$B$7</f>
        <v>0.6</v>
      </c>
      <c r="I51" s="24">
        <f t="shared" si="7"/>
        <v>1607039.9999999998</v>
      </c>
      <c r="J51" s="24" t="e">
        <f t="shared" si="4"/>
        <v>#NUM!</v>
      </c>
      <c r="K51" s="27" t="e">
        <f t="shared" si="5"/>
        <v>#NUM!</v>
      </c>
    </row>
    <row r="52" spans="1:11" x14ac:dyDescent="0.25">
      <c r="A52" s="26">
        <v>43862</v>
      </c>
      <c r="B52" s="19">
        <v>28</v>
      </c>
      <c r="C52" s="25" t="e">
        <f t="shared" si="6"/>
        <v>#NUM!</v>
      </c>
      <c r="D52" s="25" t="e">
        <f t="shared" si="2"/>
        <v>#NUM!</v>
      </c>
      <c r="E52" s="25">
        <f>'Dados de demanda e evaporação'!$D$8</f>
        <v>0.14280000000000001</v>
      </c>
      <c r="F52" s="25" t="e">
        <f t="shared" si="0"/>
        <v>#NUM!</v>
      </c>
      <c r="G52" s="25" t="e">
        <f t="shared" si="3"/>
        <v>#NUM!</v>
      </c>
      <c r="H52" s="25">
        <f>'Dados de demanda e evaporação'!$B$7</f>
        <v>0.6</v>
      </c>
      <c r="I52" s="25">
        <f t="shared" si="7"/>
        <v>1451520</v>
      </c>
      <c r="J52" s="25" t="e">
        <f t="shared" si="4"/>
        <v>#NUM!</v>
      </c>
      <c r="K52" s="25" t="e">
        <f t="shared" si="5"/>
        <v>#NUM!</v>
      </c>
    </row>
    <row r="53" spans="1:11" x14ac:dyDescent="0.25">
      <c r="A53" s="26">
        <v>43891</v>
      </c>
      <c r="B53" s="18">
        <v>31</v>
      </c>
      <c r="C53" s="24" t="e">
        <f t="shared" si="6"/>
        <v>#NUM!</v>
      </c>
      <c r="D53" s="24" t="e">
        <f t="shared" si="2"/>
        <v>#NUM!</v>
      </c>
      <c r="E53" s="24">
        <f>'Dados de demanda e evaporação'!$D$9</f>
        <v>0.13950000000000001</v>
      </c>
      <c r="F53" s="24" t="e">
        <f t="shared" si="0"/>
        <v>#NUM!</v>
      </c>
      <c r="G53" s="24" t="e">
        <f t="shared" si="3"/>
        <v>#NUM!</v>
      </c>
      <c r="H53" s="24">
        <f>'Dados de demanda e evaporação'!$B$7</f>
        <v>0.6</v>
      </c>
      <c r="I53" s="24">
        <f t="shared" si="7"/>
        <v>1607039.9999999998</v>
      </c>
      <c r="J53" s="24" t="e">
        <f t="shared" si="4"/>
        <v>#NUM!</v>
      </c>
      <c r="K53" s="27" t="e">
        <f t="shared" si="5"/>
        <v>#NUM!</v>
      </c>
    </row>
    <row r="54" spans="1:11" x14ac:dyDescent="0.25">
      <c r="A54" s="26">
        <v>43922</v>
      </c>
      <c r="B54" s="19">
        <v>30</v>
      </c>
      <c r="C54" s="25" t="e">
        <f t="shared" si="6"/>
        <v>#NUM!</v>
      </c>
      <c r="D54" s="25" t="e">
        <f t="shared" si="2"/>
        <v>#NUM!</v>
      </c>
      <c r="E54" s="25">
        <f>'Dados de demanda e evaporação'!$D$10</f>
        <v>0.114</v>
      </c>
      <c r="F54" s="25" t="e">
        <f t="shared" si="0"/>
        <v>#NUM!</v>
      </c>
      <c r="G54" s="25" t="e">
        <f t="shared" si="3"/>
        <v>#NUM!</v>
      </c>
      <c r="H54" s="25">
        <f>'Dados de demanda e evaporação'!$B$7</f>
        <v>0.6</v>
      </c>
      <c r="I54" s="25">
        <f t="shared" si="7"/>
        <v>1555200</v>
      </c>
      <c r="J54" s="25" t="e">
        <f t="shared" si="4"/>
        <v>#NUM!</v>
      </c>
      <c r="K54" s="25" t="e">
        <f t="shared" si="5"/>
        <v>#NUM!</v>
      </c>
    </row>
    <row r="55" spans="1:11" x14ac:dyDescent="0.25">
      <c r="A55" s="26">
        <v>43952</v>
      </c>
      <c r="B55" s="18">
        <v>31</v>
      </c>
      <c r="C55" s="24" t="e">
        <f t="shared" si="6"/>
        <v>#NUM!</v>
      </c>
      <c r="D55" s="24" t="e">
        <f t="shared" si="2"/>
        <v>#NUM!</v>
      </c>
      <c r="E55" s="24">
        <f>'Dados de demanda e evaporação'!$D$11</f>
        <v>8.9900000000000008E-2</v>
      </c>
      <c r="F55" s="24" t="e">
        <f t="shared" si="0"/>
        <v>#NUM!</v>
      </c>
      <c r="G55" s="24" t="e">
        <f t="shared" si="3"/>
        <v>#NUM!</v>
      </c>
      <c r="H55" s="24">
        <f>'Dados de demanda e evaporação'!$B$7</f>
        <v>0.6</v>
      </c>
      <c r="I55" s="24">
        <f t="shared" si="7"/>
        <v>1607039.9999999998</v>
      </c>
      <c r="J55" s="24" t="e">
        <f t="shared" si="4"/>
        <v>#NUM!</v>
      </c>
      <c r="K55" s="27" t="e">
        <f t="shared" si="5"/>
        <v>#NUM!</v>
      </c>
    </row>
    <row r="56" spans="1:11" x14ac:dyDescent="0.25">
      <c r="A56" s="26">
        <v>43983</v>
      </c>
      <c r="B56" s="19">
        <v>30</v>
      </c>
      <c r="C56" s="25" t="e">
        <f t="shared" si="6"/>
        <v>#NUM!</v>
      </c>
      <c r="D56" s="25" t="e">
        <f t="shared" si="2"/>
        <v>#NUM!</v>
      </c>
      <c r="E56" s="25">
        <f>'Dados de demanda e evaporação'!$D$12</f>
        <v>7.4999999999999997E-2</v>
      </c>
      <c r="F56" s="25" t="e">
        <f t="shared" si="0"/>
        <v>#NUM!</v>
      </c>
      <c r="G56" s="25" t="e">
        <f t="shared" si="3"/>
        <v>#NUM!</v>
      </c>
      <c r="H56" s="25">
        <f>'Dados de demanda e evaporação'!$B$7</f>
        <v>0.6</v>
      </c>
      <c r="I56" s="25">
        <f t="shared" si="7"/>
        <v>1555200</v>
      </c>
      <c r="J56" s="25" t="e">
        <f t="shared" si="4"/>
        <v>#NUM!</v>
      </c>
      <c r="K56" s="25" t="e">
        <f t="shared" si="5"/>
        <v>#NUM!</v>
      </c>
    </row>
    <row r="57" spans="1:11" x14ac:dyDescent="0.25">
      <c r="A57" s="26">
        <v>44013</v>
      </c>
      <c r="B57" s="18">
        <v>31</v>
      </c>
      <c r="C57" s="24" t="e">
        <f t="shared" si="6"/>
        <v>#NUM!</v>
      </c>
      <c r="D57" s="24" t="e">
        <f t="shared" si="2"/>
        <v>#NUM!</v>
      </c>
      <c r="E57" s="24">
        <f>'Dados de demanda e evaporação'!$D$13</f>
        <v>8.0599999999999991E-2</v>
      </c>
      <c r="F57" s="24" t="e">
        <f t="shared" si="0"/>
        <v>#NUM!</v>
      </c>
      <c r="G57" s="24" t="e">
        <f t="shared" si="3"/>
        <v>#NUM!</v>
      </c>
      <c r="H57" s="24">
        <f>'Dados de demanda e evaporação'!$B$7</f>
        <v>0.6</v>
      </c>
      <c r="I57" s="24">
        <f t="shared" si="7"/>
        <v>1607039.9999999998</v>
      </c>
      <c r="J57" s="24" t="e">
        <f t="shared" si="4"/>
        <v>#NUM!</v>
      </c>
      <c r="K57" s="27" t="e">
        <f t="shared" si="5"/>
        <v>#NUM!</v>
      </c>
    </row>
    <row r="58" spans="1:11" x14ac:dyDescent="0.25">
      <c r="A58" s="26">
        <v>44044</v>
      </c>
      <c r="B58" s="19">
        <v>31</v>
      </c>
      <c r="C58" s="25" t="e">
        <f t="shared" si="6"/>
        <v>#NUM!</v>
      </c>
      <c r="D58" s="25" t="e">
        <f t="shared" si="2"/>
        <v>#NUM!</v>
      </c>
      <c r="E58" s="25">
        <f>'Dados de demanda e evaporação'!$D$14</f>
        <v>9.9199999999999997E-2</v>
      </c>
      <c r="F58" s="25" t="e">
        <f t="shared" si="0"/>
        <v>#NUM!</v>
      </c>
      <c r="G58" s="25" t="e">
        <f t="shared" si="3"/>
        <v>#NUM!</v>
      </c>
      <c r="H58" s="25">
        <f>'Dados de demanda e evaporação'!$B$7</f>
        <v>0.6</v>
      </c>
      <c r="I58" s="25">
        <f t="shared" si="7"/>
        <v>1607039.9999999998</v>
      </c>
      <c r="J58" s="25" t="e">
        <f t="shared" si="4"/>
        <v>#NUM!</v>
      </c>
      <c r="K58" s="25" t="e">
        <f t="shared" si="5"/>
        <v>#NUM!</v>
      </c>
    </row>
    <row r="59" spans="1:11" x14ac:dyDescent="0.25">
      <c r="A59" s="26">
        <v>44075</v>
      </c>
      <c r="B59" s="18">
        <v>30</v>
      </c>
      <c r="C59" s="24" t="e">
        <f t="shared" si="6"/>
        <v>#NUM!</v>
      </c>
      <c r="D59" s="24" t="e">
        <f t="shared" si="2"/>
        <v>#NUM!</v>
      </c>
      <c r="E59" s="24">
        <f>'Dados de demanda e evaporação'!$D$15</f>
        <v>0.126</v>
      </c>
      <c r="F59" s="24" t="e">
        <f t="shared" si="0"/>
        <v>#NUM!</v>
      </c>
      <c r="G59" s="24" t="e">
        <f t="shared" si="3"/>
        <v>#NUM!</v>
      </c>
      <c r="H59" s="24">
        <f>'Dados de demanda e evaporação'!$B$7</f>
        <v>0.6</v>
      </c>
      <c r="I59" s="24">
        <f t="shared" si="7"/>
        <v>1555200</v>
      </c>
      <c r="J59" s="24" t="e">
        <f t="shared" si="4"/>
        <v>#NUM!</v>
      </c>
      <c r="K59" s="27" t="e">
        <f t="shared" si="5"/>
        <v>#NUM!</v>
      </c>
    </row>
    <row r="60" spans="1:11" x14ac:dyDescent="0.25">
      <c r="A60" s="26">
        <v>44105</v>
      </c>
      <c r="B60" s="19">
        <v>31</v>
      </c>
      <c r="C60" s="25" t="e">
        <f t="shared" si="6"/>
        <v>#NUM!</v>
      </c>
      <c r="D60" s="25" t="e">
        <f t="shared" si="2"/>
        <v>#NUM!</v>
      </c>
      <c r="E60" s="25">
        <f>'Dados de demanda e evaporação'!$D$16</f>
        <v>0.15190000000000001</v>
      </c>
      <c r="F60" s="25" t="e">
        <f t="shared" si="0"/>
        <v>#NUM!</v>
      </c>
      <c r="G60" s="25" t="e">
        <f t="shared" si="3"/>
        <v>#NUM!</v>
      </c>
      <c r="H60" s="25">
        <f>'Dados de demanda e evaporação'!$B$7</f>
        <v>0.6</v>
      </c>
      <c r="I60" s="25">
        <f t="shared" si="7"/>
        <v>1607039.9999999998</v>
      </c>
      <c r="J60" s="25" t="e">
        <f t="shared" si="4"/>
        <v>#NUM!</v>
      </c>
      <c r="K60" s="25" t="e">
        <f t="shared" si="5"/>
        <v>#NUM!</v>
      </c>
    </row>
    <row r="61" spans="1:11" x14ac:dyDescent="0.25">
      <c r="A61" s="26">
        <v>44136</v>
      </c>
      <c r="B61" s="18">
        <v>30</v>
      </c>
      <c r="C61" s="24" t="e">
        <f t="shared" si="6"/>
        <v>#NUM!</v>
      </c>
      <c r="D61" s="24" t="e">
        <f t="shared" si="2"/>
        <v>#NUM!</v>
      </c>
      <c r="E61" s="24">
        <f>'Dados de demanda e evaporação'!$D$17</f>
        <v>0.156</v>
      </c>
      <c r="F61" s="24" t="e">
        <f t="shared" si="0"/>
        <v>#NUM!</v>
      </c>
      <c r="G61" s="24" t="e">
        <f t="shared" si="3"/>
        <v>#NUM!</v>
      </c>
      <c r="H61" s="24">
        <f>'Dados de demanda e evaporação'!$B$7</f>
        <v>0.6</v>
      </c>
      <c r="I61" s="24">
        <f t="shared" si="7"/>
        <v>1555200</v>
      </c>
      <c r="J61" s="24" t="e">
        <f t="shared" si="4"/>
        <v>#NUM!</v>
      </c>
      <c r="K61" s="27" t="e">
        <f t="shared" si="5"/>
        <v>#NUM!</v>
      </c>
    </row>
    <row r="62" spans="1:11" x14ac:dyDescent="0.25">
      <c r="A62" s="26">
        <v>44166</v>
      </c>
      <c r="B62" s="19">
        <v>31</v>
      </c>
      <c r="C62" s="25" t="e">
        <f t="shared" si="6"/>
        <v>#NUM!</v>
      </c>
      <c r="D62" s="25" t="e">
        <f t="shared" si="2"/>
        <v>#NUM!</v>
      </c>
      <c r="E62" s="25">
        <f>'Dados de demanda e evaporação'!$D$18</f>
        <v>0.16119999999999998</v>
      </c>
      <c r="F62" s="25" t="e">
        <f t="shared" si="0"/>
        <v>#NUM!</v>
      </c>
      <c r="G62" s="25" t="e">
        <f t="shared" si="3"/>
        <v>#NUM!</v>
      </c>
      <c r="H62" s="25">
        <f>'Dados de demanda e evaporação'!$B$7</f>
        <v>0.6</v>
      </c>
      <c r="I62" s="25">
        <f t="shared" si="7"/>
        <v>1607039.9999999998</v>
      </c>
      <c r="J62" s="25" t="e">
        <f t="shared" si="4"/>
        <v>#NUM!</v>
      </c>
      <c r="K62" s="25" t="e">
        <f t="shared" si="5"/>
        <v>#NUM!</v>
      </c>
    </row>
    <row r="63" spans="1:11" x14ac:dyDescent="0.25">
      <c r="A63" s="26">
        <v>44197</v>
      </c>
      <c r="B63" s="18">
        <v>31</v>
      </c>
      <c r="C63" s="24" t="e">
        <f t="shared" si="6"/>
        <v>#NUM!</v>
      </c>
      <c r="D63" s="24" t="e">
        <f t="shared" si="2"/>
        <v>#NUM!</v>
      </c>
      <c r="E63" s="24">
        <f>'Dados de demanda e evaporação'!$D$7</f>
        <v>0.16119999999999998</v>
      </c>
      <c r="F63" s="24" t="e">
        <f t="shared" si="0"/>
        <v>#NUM!</v>
      </c>
      <c r="G63" s="24" t="e">
        <f t="shared" si="3"/>
        <v>#NUM!</v>
      </c>
      <c r="H63" s="24">
        <f>'Dados de demanda e evaporação'!$B$7</f>
        <v>0.6</v>
      </c>
      <c r="I63" s="24">
        <f t="shared" si="7"/>
        <v>1607039.9999999998</v>
      </c>
      <c r="J63" s="24" t="e">
        <f t="shared" si="4"/>
        <v>#NUM!</v>
      </c>
      <c r="K63" s="27" t="e">
        <f t="shared" si="5"/>
        <v>#NUM!</v>
      </c>
    </row>
    <row r="64" spans="1:11" x14ac:dyDescent="0.25">
      <c r="A64" s="26">
        <v>44228</v>
      </c>
      <c r="B64" s="19">
        <v>28</v>
      </c>
      <c r="C64" s="25" t="e">
        <f t="shared" si="6"/>
        <v>#NUM!</v>
      </c>
      <c r="D64" s="25" t="e">
        <f t="shared" si="2"/>
        <v>#NUM!</v>
      </c>
      <c r="E64" s="25">
        <f>'Dados de demanda e evaporação'!$D$8</f>
        <v>0.14280000000000001</v>
      </c>
      <c r="F64" s="25" t="e">
        <f t="shared" si="0"/>
        <v>#NUM!</v>
      </c>
      <c r="G64" s="25" t="e">
        <f t="shared" si="3"/>
        <v>#NUM!</v>
      </c>
      <c r="H64" s="25">
        <f>'Dados de demanda e evaporação'!$B$7</f>
        <v>0.6</v>
      </c>
      <c r="I64" s="25">
        <f t="shared" si="7"/>
        <v>1451520</v>
      </c>
      <c r="J64" s="25" t="e">
        <f t="shared" si="4"/>
        <v>#NUM!</v>
      </c>
      <c r="K64" s="25" t="e">
        <f t="shared" si="5"/>
        <v>#NUM!</v>
      </c>
    </row>
    <row r="65" spans="1:16" x14ac:dyDescent="0.25">
      <c r="A65" s="26">
        <v>44256</v>
      </c>
      <c r="B65" s="18">
        <v>31</v>
      </c>
      <c r="C65" s="24" t="e">
        <f t="shared" si="6"/>
        <v>#NUM!</v>
      </c>
      <c r="D65" s="24" t="e">
        <f t="shared" si="2"/>
        <v>#NUM!</v>
      </c>
      <c r="E65" s="24">
        <f>'Dados de demanda e evaporação'!$D$9</f>
        <v>0.13950000000000001</v>
      </c>
      <c r="F65" s="24" t="e">
        <f t="shared" si="0"/>
        <v>#NUM!</v>
      </c>
      <c r="G65" s="24" t="e">
        <f t="shared" si="3"/>
        <v>#NUM!</v>
      </c>
      <c r="H65" s="24">
        <f>'Dados de demanda e evaporação'!$B$7</f>
        <v>0.6</v>
      </c>
      <c r="I65" s="24">
        <f t="shared" si="7"/>
        <v>1607039.9999999998</v>
      </c>
      <c r="J65" s="24" t="e">
        <f t="shared" si="4"/>
        <v>#NUM!</v>
      </c>
      <c r="K65" s="27" t="e">
        <f t="shared" si="5"/>
        <v>#NUM!</v>
      </c>
    </row>
    <row r="66" spans="1:16" x14ac:dyDescent="0.25">
      <c r="A66" s="26">
        <v>44287</v>
      </c>
      <c r="B66" s="19">
        <v>30</v>
      </c>
      <c r="C66" s="25" t="e">
        <f t="shared" si="6"/>
        <v>#NUM!</v>
      </c>
      <c r="D66" s="25" t="e">
        <f t="shared" si="2"/>
        <v>#NUM!</v>
      </c>
      <c r="E66" s="25">
        <f>'Dados de demanda e evaporação'!$D$10</f>
        <v>0.114</v>
      </c>
      <c r="F66" s="25" t="e">
        <f t="shared" si="0"/>
        <v>#NUM!</v>
      </c>
      <c r="G66" s="25" t="e">
        <f t="shared" si="3"/>
        <v>#NUM!</v>
      </c>
      <c r="H66" s="25">
        <f>'Dados de demanda e evaporação'!$B$7</f>
        <v>0.6</v>
      </c>
      <c r="I66" s="25">
        <f t="shared" si="7"/>
        <v>1555200</v>
      </c>
      <c r="J66" s="25" t="e">
        <f t="shared" si="4"/>
        <v>#NUM!</v>
      </c>
      <c r="K66" s="25" t="e">
        <f t="shared" si="5"/>
        <v>#NUM!</v>
      </c>
    </row>
    <row r="67" spans="1:16" ht="15.75" thickBot="1" x14ac:dyDescent="0.3">
      <c r="A67" s="26">
        <v>44317</v>
      </c>
      <c r="B67" s="18">
        <v>31</v>
      </c>
      <c r="C67" s="24" t="e">
        <f t="shared" si="6"/>
        <v>#NUM!</v>
      </c>
      <c r="D67" s="24" t="e">
        <f t="shared" si="2"/>
        <v>#NUM!</v>
      </c>
      <c r="E67" s="24">
        <f>'Dados de demanda e evaporação'!$D$11</f>
        <v>8.9900000000000008E-2</v>
      </c>
      <c r="F67" s="24" t="e">
        <f t="shared" si="0"/>
        <v>#NUM!</v>
      </c>
      <c r="G67" s="24" t="e">
        <f t="shared" si="3"/>
        <v>#NUM!</v>
      </c>
      <c r="H67" s="24">
        <f>'Dados de demanda e evaporação'!$B$7</f>
        <v>0.6</v>
      </c>
      <c r="I67" s="24">
        <f t="shared" si="7"/>
        <v>1607039.9999999998</v>
      </c>
      <c r="J67" s="24" t="e">
        <f t="shared" si="4"/>
        <v>#NUM!</v>
      </c>
      <c r="K67" s="27" t="e">
        <f t="shared" si="5"/>
        <v>#NUM!</v>
      </c>
    </row>
    <row r="68" spans="1:16" ht="15.75" thickBot="1" x14ac:dyDescent="0.3">
      <c r="A68" s="26">
        <v>44348</v>
      </c>
      <c r="B68" s="19">
        <v>30</v>
      </c>
      <c r="C68" s="25" t="e">
        <f t="shared" si="6"/>
        <v>#NUM!</v>
      </c>
      <c r="D68" s="25" t="e">
        <f t="shared" si="2"/>
        <v>#NUM!</v>
      </c>
      <c r="E68" s="25">
        <f>'Dados de demanda e evaporação'!$D$12</f>
        <v>7.4999999999999997E-2</v>
      </c>
      <c r="F68" s="25" t="e">
        <f t="shared" si="0"/>
        <v>#NUM!</v>
      </c>
      <c r="G68" s="25" t="e">
        <f t="shared" si="3"/>
        <v>#NUM!</v>
      </c>
      <c r="H68" s="25">
        <f>'Dados de demanda e evaporação'!$B$7</f>
        <v>0.6</v>
      </c>
      <c r="I68" s="25">
        <f t="shared" si="7"/>
        <v>1555200</v>
      </c>
      <c r="J68" s="25" t="e">
        <f t="shared" si="4"/>
        <v>#NUM!</v>
      </c>
      <c r="K68" s="25" t="e">
        <f t="shared" si="5"/>
        <v>#NUM!</v>
      </c>
      <c r="L68" s="58" t="s">
        <v>46</v>
      </c>
      <c r="M68" s="59"/>
      <c r="N68" s="59"/>
      <c r="O68" s="59"/>
      <c r="P68" s="60"/>
    </row>
    <row r="69" spans="1:16" s="30" customFormat="1" x14ac:dyDescent="0.25">
      <c r="A69" s="26">
        <v>44378</v>
      </c>
      <c r="B69" s="18">
        <v>31</v>
      </c>
      <c r="C69" s="24" t="e">
        <f t="shared" si="6"/>
        <v>#NUM!</v>
      </c>
      <c r="D69" s="24" t="e">
        <f t="shared" si="2"/>
        <v>#NUM!</v>
      </c>
      <c r="E69" s="24">
        <f>'Dados de demanda e evaporação'!$D$13</f>
        <v>8.0599999999999991E-2</v>
      </c>
      <c r="F69" s="24" t="e">
        <f t="shared" si="0"/>
        <v>#NUM!</v>
      </c>
      <c r="G69" s="24" t="e">
        <f t="shared" si="3"/>
        <v>#NUM!</v>
      </c>
      <c r="H69" s="24">
        <f>'Dados de demanda e evaporação'!$B$7</f>
        <v>0.6</v>
      </c>
      <c r="I69" s="24">
        <f t="shared" si="7"/>
        <v>1607039.9999999998</v>
      </c>
      <c r="J69" s="24" t="e">
        <f t="shared" si="4"/>
        <v>#NUM!</v>
      </c>
      <c r="K69" s="24" t="e">
        <f t="shared" si="5"/>
        <v>#NUM!</v>
      </c>
    </row>
    <row r="70" spans="1:16" x14ac:dyDescent="0.25">
      <c r="A70" s="26">
        <v>44409</v>
      </c>
      <c r="B70" s="19">
        <v>31</v>
      </c>
      <c r="C70" s="25" t="e">
        <f t="shared" si="6"/>
        <v>#NUM!</v>
      </c>
      <c r="D70" s="25" t="e">
        <f t="shared" si="2"/>
        <v>#NUM!</v>
      </c>
      <c r="E70" s="25">
        <f>'Dados de demanda e evaporação'!$D$14</f>
        <v>9.9199999999999997E-2</v>
      </c>
      <c r="F70" s="25" t="e">
        <f t="shared" si="0"/>
        <v>#NUM!</v>
      </c>
      <c r="G70" s="25" t="e">
        <f t="shared" si="3"/>
        <v>#NUM!</v>
      </c>
      <c r="H70" s="25">
        <f>'Dados de demanda e evaporação'!$B$7</f>
        <v>0.6</v>
      </c>
      <c r="I70" s="25">
        <f t="shared" si="7"/>
        <v>1607039.9999999998</v>
      </c>
      <c r="J70" s="25" t="e">
        <f t="shared" si="4"/>
        <v>#NUM!</v>
      </c>
      <c r="K70" s="25" t="e">
        <f t="shared" si="5"/>
        <v>#NUM!</v>
      </c>
    </row>
    <row r="71" spans="1:16" x14ac:dyDescent="0.25">
      <c r="A71" s="26">
        <v>44440</v>
      </c>
      <c r="B71" s="18">
        <v>30</v>
      </c>
      <c r="C71" s="24" t="e">
        <f t="shared" si="6"/>
        <v>#NUM!</v>
      </c>
      <c r="D71" s="24" t="e">
        <f t="shared" si="2"/>
        <v>#NUM!</v>
      </c>
      <c r="E71" s="24">
        <f>'Dados de demanda e evaporação'!$D$15</f>
        <v>0.126</v>
      </c>
      <c r="F71" s="24" t="e">
        <f t="shared" si="0"/>
        <v>#NUM!</v>
      </c>
      <c r="G71" s="24" t="e">
        <f t="shared" si="3"/>
        <v>#NUM!</v>
      </c>
      <c r="H71" s="24">
        <f>'Dados de demanda e evaporação'!$B$7</f>
        <v>0.6</v>
      </c>
      <c r="I71" s="24">
        <f t="shared" si="7"/>
        <v>1555200</v>
      </c>
      <c r="J71" s="24" t="e">
        <f t="shared" si="4"/>
        <v>#NUM!</v>
      </c>
      <c r="K71" s="27" t="e">
        <f t="shared" si="5"/>
        <v>#NUM!</v>
      </c>
    </row>
    <row r="72" spans="1:16" x14ac:dyDescent="0.25">
      <c r="A72" s="26">
        <v>44470</v>
      </c>
      <c r="B72" s="19">
        <v>31</v>
      </c>
      <c r="C72" s="25" t="e">
        <f t="shared" si="6"/>
        <v>#NUM!</v>
      </c>
      <c r="D72" s="25" t="e">
        <f t="shared" si="2"/>
        <v>#NUM!</v>
      </c>
      <c r="E72" s="25">
        <f>'Dados de demanda e evaporação'!$D$16</f>
        <v>0.15190000000000001</v>
      </c>
      <c r="F72" s="25" t="e">
        <f t="shared" si="0"/>
        <v>#NUM!</v>
      </c>
      <c r="G72" s="25" t="e">
        <f t="shared" si="3"/>
        <v>#NUM!</v>
      </c>
      <c r="H72" s="25">
        <f>'Dados de demanda e evaporação'!$B$7</f>
        <v>0.6</v>
      </c>
      <c r="I72" s="25">
        <f t="shared" ref="I72:I103" si="8">H72*B72*(3600*24)</f>
        <v>1607039.9999999998</v>
      </c>
      <c r="J72" s="25" t="e">
        <f t="shared" si="4"/>
        <v>#NUM!</v>
      </c>
      <c r="K72" s="25" t="e">
        <f t="shared" si="5"/>
        <v>#NUM!</v>
      </c>
    </row>
    <row r="73" spans="1:16" x14ac:dyDescent="0.25">
      <c r="A73" s="26">
        <v>44501</v>
      </c>
      <c r="B73" s="18">
        <v>30</v>
      </c>
      <c r="C73" s="24" t="e">
        <f t="shared" si="6"/>
        <v>#NUM!</v>
      </c>
      <c r="D73" s="24" t="e">
        <f t="shared" si="2"/>
        <v>#NUM!</v>
      </c>
      <c r="E73" s="24">
        <f>'Dados de demanda e evaporação'!$D$17</f>
        <v>0.156</v>
      </c>
      <c r="F73" s="24" t="e">
        <f t="shared" si="0"/>
        <v>#NUM!</v>
      </c>
      <c r="G73" s="24" t="e">
        <f t="shared" si="3"/>
        <v>#NUM!</v>
      </c>
      <c r="H73" s="24">
        <f>'Dados de demanda e evaporação'!$B$7</f>
        <v>0.6</v>
      </c>
      <c r="I73" s="24">
        <f t="shared" si="8"/>
        <v>1555200</v>
      </c>
      <c r="J73" s="24" t="e">
        <f t="shared" si="4"/>
        <v>#NUM!</v>
      </c>
      <c r="K73" s="27" t="e">
        <f t="shared" si="5"/>
        <v>#NUM!</v>
      </c>
    </row>
    <row r="74" spans="1:16" x14ac:dyDescent="0.25">
      <c r="A74" s="26">
        <v>44531</v>
      </c>
      <c r="B74" s="19">
        <v>31</v>
      </c>
      <c r="C74" s="25" t="e">
        <f t="shared" si="6"/>
        <v>#NUM!</v>
      </c>
      <c r="D74" s="25" t="e">
        <f t="shared" si="2"/>
        <v>#NUM!</v>
      </c>
      <c r="E74" s="25">
        <f>'Dados de demanda e evaporação'!$D$18</f>
        <v>0.16119999999999998</v>
      </c>
      <c r="F74" s="25" t="e">
        <f t="shared" si="0"/>
        <v>#NUM!</v>
      </c>
      <c r="G74" s="25" t="e">
        <f t="shared" si="3"/>
        <v>#NUM!</v>
      </c>
      <c r="H74" s="25">
        <f>'Dados de demanda e evaporação'!$B$7</f>
        <v>0.6</v>
      </c>
      <c r="I74" s="25">
        <f t="shared" si="8"/>
        <v>1607039.9999999998</v>
      </c>
      <c r="J74" s="25" t="e">
        <f t="shared" si="4"/>
        <v>#NUM!</v>
      </c>
      <c r="K74" s="25" t="e">
        <f t="shared" si="5"/>
        <v>#NUM!</v>
      </c>
    </row>
    <row r="75" spans="1:16" x14ac:dyDescent="0.25">
      <c r="A75" s="26">
        <v>44562</v>
      </c>
      <c r="B75" s="18">
        <v>30</v>
      </c>
      <c r="C75" s="24" t="e">
        <f t="shared" si="6"/>
        <v>#NUM!</v>
      </c>
      <c r="D75" s="24" t="e">
        <f t="shared" si="2"/>
        <v>#NUM!</v>
      </c>
      <c r="E75" s="24">
        <f>'Dados de demanda e evaporação'!$D$7</f>
        <v>0.16119999999999998</v>
      </c>
      <c r="F75" s="24" t="e">
        <f t="shared" si="0"/>
        <v>#NUM!</v>
      </c>
      <c r="G75" s="24" t="e">
        <f t="shared" si="3"/>
        <v>#NUM!</v>
      </c>
      <c r="H75" s="24">
        <f>'Dados de demanda e evaporação'!$B$7</f>
        <v>0.6</v>
      </c>
      <c r="I75" s="24">
        <f t="shared" si="8"/>
        <v>1555200</v>
      </c>
      <c r="J75" s="24" t="e">
        <f t="shared" si="4"/>
        <v>#NUM!</v>
      </c>
      <c r="K75" s="27" t="e">
        <f t="shared" si="5"/>
        <v>#NUM!</v>
      </c>
    </row>
    <row r="76" spans="1:16" x14ac:dyDescent="0.25">
      <c r="A76" s="26">
        <v>44593</v>
      </c>
      <c r="B76" s="19">
        <v>31</v>
      </c>
      <c r="C76" s="25" t="e">
        <f t="shared" si="6"/>
        <v>#NUM!</v>
      </c>
      <c r="D76" s="25" t="e">
        <f t="shared" si="2"/>
        <v>#NUM!</v>
      </c>
      <c r="E76" s="25">
        <f>'Dados de demanda e evaporação'!$D$8</f>
        <v>0.14280000000000001</v>
      </c>
      <c r="F76" s="25" t="e">
        <f t="shared" si="0"/>
        <v>#NUM!</v>
      </c>
      <c r="G76" s="25" t="e">
        <f t="shared" si="3"/>
        <v>#NUM!</v>
      </c>
      <c r="H76" s="25">
        <f>'Dados de demanda e evaporação'!$B$7</f>
        <v>0.6</v>
      </c>
      <c r="I76" s="25">
        <f t="shared" si="8"/>
        <v>1607039.9999999998</v>
      </c>
      <c r="J76" s="25" t="e">
        <f t="shared" si="4"/>
        <v>#NUM!</v>
      </c>
      <c r="K76" s="25" t="e">
        <f t="shared" si="5"/>
        <v>#NUM!</v>
      </c>
    </row>
    <row r="77" spans="1:16" x14ac:dyDescent="0.25">
      <c r="A77" s="26">
        <v>44621</v>
      </c>
      <c r="B77" s="18"/>
      <c r="C77" s="24" t="e">
        <f t="shared" si="6"/>
        <v>#NUM!</v>
      </c>
      <c r="D77" s="24" t="e">
        <f t="shared" si="2"/>
        <v>#NUM!</v>
      </c>
      <c r="E77" s="24">
        <f>'Dados de demanda e evaporação'!$D$9</f>
        <v>0.13950000000000001</v>
      </c>
      <c r="F77" s="24" t="e">
        <f t="shared" si="0"/>
        <v>#NUM!</v>
      </c>
      <c r="G77" s="24" t="e">
        <f t="shared" si="3"/>
        <v>#NUM!</v>
      </c>
      <c r="H77" s="24">
        <f>'Dados de demanda e evaporação'!$B$7</f>
        <v>0.6</v>
      </c>
      <c r="I77" s="24">
        <f t="shared" si="8"/>
        <v>0</v>
      </c>
      <c r="J77" s="24" t="e">
        <f t="shared" si="4"/>
        <v>#NUM!</v>
      </c>
      <c r="K77" s="27" t="e">
        <f t="shared" si="5"/>
        <v>#NUM!</v>
      </c>
    </row>
    <row r="78" spans="1:16" x14ac:dyDescent="0.25">
      <c r="A78" s="26">
        <v>44652</v>
      </c>
      <c r="B78" s="19"/>
      <c r="C78" s="25" t="e">
        <f t="shared" si="6"/>
        <v>#NUM!</v>
      </c>
      <c r="D78" s="25" t="e">
        <f t="shared" si="2"/>
        <v>#NUM!</v>
      </c>
      <c r="E78" s="25">
        <f>'Dados de demanda e evaporação'!$D$10</f>
        <v>0.114</v>
      </c>
      <c r="F78" s="25" t="e">
        <f t="shared" si="0"/>
        <v>#NUM!</v>
      </c>
      <c r="G78" s="25" t="e">
        <f t="shared" si="3"/>
        <v>#NUM!</v>
      </c>
      <c r="H78" s="25">
        <f>'Dados de demanda e evaporação'!$B$7</f>
        <v>0.6</v>
      </c>
      <c r="I78" s="25">
        <f t="shared" si="8"/>
        <v>0</v>
      </c>
      <c r="J78" s="25" t="e">
        <f t="shared" si="4"/>
        <v>#NUM!</v>
      </c>
      <c r="K78" s="25" t="e">
        <f t="shared" si="5"/>
        <v>#NUM!</v>
      </c>
    </row>
    <row r="79" spans="1:16" x14ac:dyDescent="0.25">
      <c r="A79" s="26">
        <v>44682</v>
      </c>
      <c r="B79" s="18"/>
      <c r="C79" s="24" t="e">
        <f t="shared" si="6"/>
        <v>#NUM!</v>
      </c>
      <c r="D79" s="24" t="e">
        <f t="shared" si="2"/>
        <v>#NUM!</v>
      </c>
      <c r="E79" s="24">
        <f>'Dados de demanda e evaporação'!$D$11</f>
        <v>8.9900000000000008E-2</v>
      </c>
      <c r="F79" s="24" t="e">
        <f t="shared" si="0"/>
        <v>#NUM!</v>
      </c>
      <c r="G79" s="24" t="e">
        <f t="shared" si="3"/>
        <v>#NUM!</v>
      </c>
      <c r="H79" s="24">
        <f>'Dados de demanda e evaporação'!$B$7</f>
        <v>0.6</v>
      </c>
      <c r="I79" s="24">
        <f t="shared" si="8"/>
        <v>0</v>
      </c>
      <c r="J79" s="24" t="e">
        <f t="shared" si="4"/>
        <v>#NUM!</v>
      </c>
      <c r="K79" s="27" t="e">
        <f t="shared" si="5"/>
        <v>#NUM!</v>
      </c>
    </row>
    <row r="80" spans="1:16" x14ac:dyDescent="0.25">
      <c r="A80" s="26">
        <v>44713</v>
      </c>
      <c r="B80" s="19"/>
      <c r="C80" s="25" t="e">
        <f t="shared" si="6"/>
        <v>#NUM!</v>
      </c>
      <c r="D80" s="25" t="e">
        <f t="shared" si="2"/>
        <v>#NUM!</v>
      </c>
      <c r="E80" s="25">
        <f>'Dados de demanda e evaporação'!$D$12</f>
        <v>7.4999999999999997E-2</v>
      </c>
      <c r="F80" s="25" t="e">
        <f t="shared" si="0"/>
        <v>#NUM!</v>
      </c>
      <c r="G80" s="25" t="e">
        <f t="shared" si="3"/>
        <v>#NUM!</v>
      </c>
      <c r="H80" s="25">
        <f>'Dados de demanda e evaporação'!$B$7</f>
        <v>0.6</v>
      </c>
      <c r="I80" s="25">
        <f t="shared" si="8"/>
        <v>0</v>
      </c>
      <c r="J80" s="25" t="e">
        <f t="shared" si="4"/>
        <v>#NUM!</v>
      </c>
      <c r="K80" s="25" t="e">
        <f t="shared" si="5"/>
        <v>#NUM!</v>
      </c>
    </row>
    <row r="81" spans="1:11" x14ac:dyDescent="0.25">
      <c r="A81" s="26">
        <v>44743</v>
      </c>
      <c r="B81" s="18"/>
      <c r="C81" s="24" t="e">
        <f t="shared" si="6"/>
        <v>#NUM!</v>
      </c>
      <c r="D81" s="24" t="e">
        <f t="shared" si="2"/>
        <v>#NUM!</v>
      </c>
      <c r="E81" s="24">
        <f>'Dados de demanda e evaporação'!$D$13</f>
        <v>8.0599999999999991E-2</v>
      </c>
      <c r="F81" s="24" t="e">
        <f t="shared" ref="F81:F103" si="9">E81*D81</f>
        <v>#NUM!</v>
      </c>
      <c r="G81" s="24" t="e">
        <f t="shared" si="3"/>
        <v>#NUM!</v>
      </c>
      <c r="H81" s="24">
        <f>'Dados de demanda e evaporação'!$B$7</f>
        <v>0.6</v>
      </c>
      <c r="I81" s="24">
        <f t="shared" si="8"/>
        <v>0</v>
      </c>
      <c r="J81" s="24" t="e">
        <f t="shared" si="4"/>
        <v>#NUM!</v>
      </c>
      <c r="K81" s="27" t="e">
        <f t="shared" si="5"/>
        <v>#NUM!</v>
      </c>
    </row>
    <row r="82" spans="1:11" x14ac:dyDescent="0.25">
      <c r="A82" s="26">
        <v>44774</v>
      </c>
      <c r="B82" s="19"/>
      <c r="C82" s="25" t="e">
        <f t="shared" si="6"/>
        <v>#NUM!</v>
      </c>
      <c r="D82" s="25" t="e">
        <f t="shared" ref="D82:D103" si="10">22.256*C82^0.7153</f>
        <v>#NUM!</v>
      </c>
      <c r="E82" s="25">
        <f>'Dados de demanda e evaporação'!$D$14</f>
        <v>9.9199999999999997E-2</v>
      </c>
      <c r="F82" s="25" t="e">
        <f t="shared" si="9"/>
        <v>#NUM!</v>
      </c>
      <c r="G82" s="25" t="e">
        <f t="shared" ref="G82:G103" si="11">(C82-F82)</f>
        <v>#NUM!</v>
      </c>
      <c r="H82" s="25">
        <f>'Dados de demanda e evaporação'!$B$7</f>
        <v>0.6</v>
      </c>
      <c r="I82" s="25">
        <f t="shared" si="8"/>
        <v>0</v>
      </c>
      <c r="J82" s="25" t="e">
        <f t="shared" ref="J82:J103" si="12">G82-I82</f>
        <v>#NUM!</v>
      </c>
      <c r="K82" s="25" t="e">
        <f t="shared" ref="K82:K103" si="13">IF(J82&lt;$D$10,J82,$D$10)</f>
        <v>#NUM!</v>
      </c>
    </row>
    <row r="83" spans="1:11" x14ac:dyDescent="0.25">
      <c r="A83" s="26">
        <v>44805</v>
      </c>
      <c r="B83" s="18"/>
      <c r="C83" s="24" t="e">
        <f t="shared" ref="C83:C103" si="14">K82</f>
        <v>#NUM!</v>
      </c>
      <c r="D83" s="24" t="e">
        <f t="shared" si="10"/>
        <v>#NUM!</v>
      </c>
      <c r="E83" s="24">
        <f>'Dados de demanda e evaporação'!$D$15</f>
        <v>0.126</v>
      </c>
      <c r="F83" s="24" t="e">
        <f t="shared" si="9"/>
        <v>#NUM!</v>
      </c>
      <c r="G83" s="24" t="e">
        <f t="shared" si="11"/>
        <v>#NUM!</v>
      </c>
      <c r="H83" s="24">
        <f>'Dados de demanda e evaporação'!$B$7</f>
        <v>0.6</v>
      </c>
      <c r="I83" s="24">
        <f t="shared" si="8"/>
        <v>0</v>
      </c>
      <c r="J83" s="24" t="e">
        <f t="shared" si="12"/>
        <v>#NUM!</v>
      </c>
      <c r="K83" s="27" t="e">
        <f t="shared" si="13"/>
        <v>#NUM!</v>
      </c>
    </row>
    <row r="84" spans="1:11" x14ac:dyDescent="0.25">
      <c r="A84" s="26">
        <v>44835</v>
      </c>
      <c r="B84" s="19"/>
      <c r="C84" s="25" t="e">
        <f t="shared" si="14"/>
        <v>#NUM!</v>
      </c>
      <c r="D84" s="25" t="e">
        <f t="shared" si="10"/>
        <v>#NUM!</v>
      </c>
      <c r="E84" s="25">
        <f>'Dados de demanda e evaporação'!$D$16</f>
        <v>0.15190000000000001</v>
      </c>
      <c r="F84" s="25" t="e">
        <f t="shared" si="9"/>
        <v>#NUM!</v>
      </c>
      <c r="G84" s="25" t="e">
        <f t="shared" si="11"/>
        <v>#NUM!</v>
      </c>
      <c r="H84" s="25">
        <f>'Dados de demanda e evaporação'!$B$7</f>
        <v>0.6</v>
      </c>
      <c r="I84" s="25">
        <f t="shared" si="8"/>
        <v>0</v>
      </c>
      <c r="J84" s="25" t="e">
        <f t="shared" si="12"/>
        <v>#NUM!</v>
      </c>
      <c r="K84" s="25" t="e">
        <f t="shared" si="13"/>
        <v>#NUM!</v>
      </c>
    </row>
    <row r="85" spans="1:11" x14ac:dyDescent="0.25">
      <c r="A85" s="26">
        <v>44866</v>
      </c>
      <c r="B85" s="18"/>
      <c r="C85" s="24" t="e">
        <f t="shared" si="14"/>
        <v>#NUM!</v>
      </c>
      <c r="D85" s="24" t="e">
        <f t="shared" si="10"/>
        <v>#NUM!</v>
      </c>
      <c r="E85" s="24">
        <f>'Dados de demanda e evaporação'!$D$17</f>
        <v>0.156</v>
      </c>
      <c r="F85" s="24" t="e">
        <f t="shared" si="9"/>
        <v>#NUM!</v>
      </c>
      <c r="G85" s="24" t="e">
        <f t="shared" si="11"/>
        <v>#NUM!</v>
      </c>
      <c r="H85" s="24">
        <f>'Dados de demanda e evaporação'!$B$7</f>
        <v>0.6</v>
      </c>
      <c r="I85" s="24">
        <f t="shared" si="8"/>
        <v>0</v>
      </c>
      <c r="J85" s="24" t="e">
        <f t="shared" si="12"/>
        <v>#NUM!</v>
      </c>
      <c r="K85" s="27" t="e">
        <f t="shared" si="13"/>
        <v>#NUM!</v>
      </c>
    </row>
    <row r="86" spans="1:11" x14ac:dyDescent="0.25">
      <c r="A86" s="26">
        <v>44896</v>
      </c>
      <c r="B86" s="19"/>
      <c r="C86" s="25" t="e">
        <f t="shared" si="14"/>
        <v>#NUM!</v>
      </c>
      <c r="D86" s="25" t="e">
        <f t="shared" si="10"/>
        <v>#NUM!</v>
      </c>
      <c r="E86" s="25">
        <f>'Dados de demanda e evaporação'!$D$18</f>
        <v>0.16119999999999998</v>
      </c>
      <c r="F86" s="25" t="e">
        <f t="shared" si="9"/>
        <v>#NUM!</v>
      </c>
      <c r="G86" s="25" t="e">
        <f t="shared" si="11"/>
        <v>#NUM!</v>
      </c>
      <c r="H86" s="25">
        <f>'Dados de demanda e evaporação'!$B$7</f>
        <v>0.6</v>
      </c>
      <c r="I86" s="25">
        <f t="shared" si="8"/>
        <v>0</v>
      </c>
      <c r="J86" s="25" t="e">
        <f t="shared" si="12"/>
        <v>#NUM!</v>
      </c>
      <c r="K86" s="25" t="e">
        <f t="shared" si="13"/>
        <v>#NUM!</v>
      </c>
    </row>
    <row r="87" spans="1:11" x14ac:dyDescent="0.25">
      <c r="A87" s="26">
        <v>44927</v>
      </c>
      <c r="B87" s="18"/>
      <c r="C87" s="24" t="e">
        <f t="shared" si="14"/>
        <v>#NUM!</v>
      </c>
      <c r="D87" s="24" t="e">
        <f t="shared" si="10"/>
        <v>#NUM!</v>
      </c>
      <c r="E87" s="24">
        <f>'Dados de demanda e evaporação'!$D$7</f>
        <v>0.16119999999999998</v>
      </c>
      <c r="F87" s="24" t="e">
        <f t="shared" si="9"/>
        <v>#NUM!</v>
      </c>
      <c r="G87" s="24" t="e">
        <f t="shared" si="11"/>
        <v>#NUM!</v>
      </c>
      <c r="H87" s="24">
        <f>'Dados de demanda e evaporação'!$B$7</f>
        <v>0.6</v>
      </c>
      <c r="I87" s="24">
        <f t="shared" si="8"/>
        <v>0</v>
      </c>
      <c r="J87" s="24" t="e">
        <f t="shared" si="12"/>
        <v>#NUM!</v>
      </c>
      <c r="K87" s="27" t="e">
        <f t="shared" si="13"/>
        <v>#NUM!</v>
      </c>
    </row>
    <row r="88" spans="1:11" x14ac:dyDescent="0.25">
      <c r="A88" s="26">
        <v>44958</v>
      </c>
      <c r="B88" s="19"/>
      <c r="C88" s="25" t="e">
        <f t="shared" si="14"/>
        <v>#NUM!</v>
      </c>
      <c r="D88" s="25" t="e">
        <f t="shared" si="10"/>
        <v>#NUM!</v>
      </c>
      <c r="E88" s="25">
        <f>'Dados de demanda e evaporação'!$D$8</f>
        <v>0.14280000000000001</v>
      </c>
      <c r="F88" s="25" t="e">
        <f t="shared" si="9"/>
        <v>#NUM!</v>
      </c>
      <c r="G88" s="25" t="e">
        <f t="shared" si="11"/>
        <v>#NUM!</v>
      </c>
      <c r="H88" s="25">
        <f>'Dados de demanda e evaporação'!$B$7</f>
        <v>0.6</v>
      </c>
      <c r="I88" s="25">
        <f t="shared" si="8"/>
        <v>0</v>
      </c>
      <c r="J88" s="25" t="e">
        <f t="shared" si="12"/>
        <v>#NUM!</v>
      </c>
      <c r="K88" s="25" t="e">
        <f t="shared" si="13"/>
        <v>#NUM!</v>
      </c>
    </row>
    <row r="89" spans="1:11" x14ac:dyDescent="0.25">
      <c r="A89" s="26">
        <v>44986</v>
      </c>
      <c r="B89" s="18"/>
      <c r="C89" s="24" t="e">
        <f t="shared" si="14"/>
        <v>#NUM!</v>
      </c>
      <c r="D89" s="24" t="e">
        <f t="shared" si="10"/>
        <v>#NUM!</v>
      </c>
      <c r="E89" s="24">
        <f>'Dados de demanda e evaporação'!$D$9</f>
        <v>0.13950000000000001</v>
      </c>
      <c r="F89" s="24" t="e">
        <f t="shared" si="9"/>
        <v>#NUM!</v>
      </c>
      <c r="G89" s="24" t="e">
        <f t="shared" si="11"/>
        <v>#NUM!</v>
      </c>
      <c r="H89" s="24">
        <f>'Dados de demanda e evaporação'!$B$7</f>
        <v>0.6</v>
      </c>
      <c r="I89" s="24">
        <f t="shared" si="8"/>
        <v>0</v>
      </c>
      <c r="J89" s="24" t="e">
        <f t="shared" si="12"/>
        <v>#NUM!</v>
      </c>
      <c r="K89" s="27" t="e">
        <f t="shared" si="13"/>
        <v>#NUM!</v>
      </c>
    </row>
    <row r="90" spans="1:11" x14ac:dyDescent="0.25">
      <c r="A90" s="26">
        <v>45017</v>
      </c>
      <c r="B90" s="19"/>
      <c r="C90" s="25" t="e">
        <f t="shared" si="14"/>
        <v>#NUM!</v>
      </c>
      <c r="D90" s="25" t="e">
        <f t="shared" si="10"/>
        <v>#NUM!</v>
      </c>
      <c r="E90" s="25">
        <f>'Dados de demanda e evaporação'!$D$10</f>
        <v>0.114</v>
      </c>
      <c r="F90" s="25" t="e">
        <f t="shared" si="9"/>
        <v>#NUM!</v>
      </c>
      <c r="G90" s="25" t="e">
        <f t="shared" si="11"/>
        <v>#NUM!</v>
      </c>
      <c r="H90" s="25">
        <f>'Dados de demanda e evaporação'!$B$7</f>
        <v>0.6</v>
      </c>
      <c r="I90" s="25">
        <f t="shared" si="8"/>
        <v>0</v>
      </c>
      <c r="J90" s="25" t="e">
        <f t="shared" si="12"/>
        <v>#NUM!</v>
      </c>
      <c r="K90" s="25" t="e">
        <f t="shared" si="13"/>
        <v>#NUM!</v>
      </c>
    </row>
    <row r="91" spans="1:11" x14ac:dyDescent="0.25">
      <c r="A91" s="26">
        <v>45047</v>
      </c>
      <c r="B91" s="18"/>
      <c r="C91" s="24" t="e">
        <f t="shared" si="14"/>
        <v>#NUM!</v>
      </c>
      <c r="D91" s="24" t="e">
        <f t="shared" si="10"/>
        <v>#NUM!</v>
      </c>
      <c r="E91" s="24">
        <f>'Dados de demanda e evaporação'!$D$11</f>
        <v>8.9900000000000008E-2</v>
      </c>
      <c r="F91" s="24" t="e">
        <f t="shared" si="9"/>
        <v>#NUM!</v>
      </c>
      <c r="G91" s="24" t="e">
        <f t="shared" si="11"/>
        <v>#NUM!</v>
      </c>
      <c r="H91" s="24">
        <f>'Dados de demanda e evaporação'!$B$7</f>
        <v>0.6</v>
      </c>
      <c r="I91" s="24">
        <f t="shared" si="8"/>
        <v>0</v>
      </c>
      <c r="J91" s="24" t="e">
        <f t="shared" si="12"/>
        <v>#NUM!</v>
      </c>
      <c r="K91" s="27" t="e">
        <f t="shared" si="13"/>
        <v>#NUM!</v>
      </c>
    </row>
    <row r="92" spans="1:11" x14ac:dyDescent="0.25">
      <c r="A92" s="26">
        <v>45078</v>
      </c>
      <c r="B92" s="19"/>
      <c r="C92" s="25" t="e">
        <f t="shared" si="14"/>
        <v>#NUM!</v>
      </c>
      <c r="D92" s="25" t="e">
        <f t="shared" si="10"/>
        <v>#NUM!</v>
      </c>
      <c r="E92" s="25">
        <f>'Dados de demanda e evaporação'!$D$12</f>
        <v>7.4999999999999997E-2</v>
      </c>
      <c r="F92" s="25" t="e">
        <f t="shared" si="9"/>
        <v>#NUM!</v>
      </c>
      <c r="G92" s="25" t="e">
        <f t="shared" si="11"/>
        <v>#NUM!</v>
      </c>
      <c r="H92" s="25">
        <f>'Dados de demanda e evaporação'!$B$7</f>
        <v>0.6</v>
      </c>
      <c r="I92" s="25">
        <f t="shared" si="8"/>
        <v>0</v>
      </c>
      <c r="J92" s="25" t="e">
        <f t="shared" si="12"/>
        <v>#NUM!</v>
      </c>
      <c r="K92" s="25" t="e">
        <f t="shared" si="13"/>
        <v>#NUM!</v>
      </c>
    </row>
    <row r="93" spans="1:11" x14ac:dyDescent="0.25">
      <c r="A93" s="26">
        <v>45108</v>
      </c>
      <c r="B93" s="18"/>
      <c r="C93" s="24" t="e">
        <f t="shared" si="14"/>
        <v>#NUM!</v>
      </c>
      <c r="D93" s="24" t="e">
        <f t="shared" si="10"/>
        <v>#NUM!</v>
      </c>
      <c r="E93" s="24">
        <f>'Dados de demanda e evaporação'!$D$13</f>
        <v>8.0599999999999991E-2</v>
      </c>
      <c r="F93" s="24" t="e">
        <f t="shared" si="9"/>
        <v>#NUM!</v>
      </c>
      <c r="G93" s="24" t="e">
        <f t="shared" si="11"/>
        <v>#NUM!</v>
      </c>
      <c r="H93" s="24">
        <f>'Dados de demanda e evaporação'!$B$7</f>
        <v>0.6</v>
      </c>
      <c r="I93" s="24">
        <f t="shared" si="8"/>
        <v>0</v>
      </c>
      <c r="J93" s="24" t="e">
        <f t="shared" si="12"/>
        <v>#NUM!</v>
      </c>
      <c r="K93" s="27" t="e">
        <f t="shared" si="13"/>
        <v>#NUM!</v>
      </c>
    </row>
    <row r="94" spans="1:11" x14ac:dyDescent="0.25">
      <c r="A94" s="26">
        <v>45139</v>
      </c>
      <c r="B94" s="19"/>
      <c r="C94" s="25" t="e">
        <f t="shared" si="14"/>
        <v>#NUM!</v>
      </c>
      <c r="D94" s="25" t="e">
        <f t="shared" si="10"/>
        <v>#NUM!</v>
      </c>
      <c r="E94" s="25">
        <f>'Dados de demanda e evaporação'!$D$14</f>
        <v>9.9199999999999997E-2</v>
      </c>
      <c r="F94" s="25" t="e">
        <f t="shared" si="9"/>
        <v>#NUM!</v>
      </c>
      <c r="G94" s="25" t="e">
        <f t="shared" si="11"/>
        <v>#NUM!</v>
      </c>
      <c r="H94" s="25">
        <f>'Dados de demanda e evaporação'!$B$7</f>
        <v>0.6</v>
      </c>
      <c r="I94" s="25">
        <f t="shared" si="8"/>
        <v>0</v>
      </c>
      <c r="J94" s="25" t="e">
        <f t="shared" si="12"/>
        <v>#NUM!</v>
      </c>
      <c r="K94" s="25" t="e">
        <f t="shared" si="13"/>
        <v>#NUM!</v>
      </c>
    </row>
    <row r="95" spans="1:11" x14ac:dyDescent="0.25">
      <c r="A95" s="26">
        <v>45170</v>
      </c>
      <c r="B95" s="18"/>
      <c r="C95" s="24" t="e">
        <f t="shared" si="14"/>
        <v>#NUM!</v>
      </c>
      <c r="D95" s="24" t="e">
        <f t="shared" si="10"/>
        <v>#NUM!</v>
      </c>
      <c r="E95" s="24">
        <f>'Dados de demanda e evaporação'!$D$15</f>
        <v>0.126</v>
      </c>
      <c r="F95" s="24" t="e">
        <f t="shared" si="9"/>
        <v>#NUM!</v>
      </c>
      <c r="G95" s="24" t="e">
        <f t="shared" si="11"/>
        <v>#NUM!</v>
      </c>
      <c r="H95" s="24">
        <f>'Dados de demanda e evaporação'!$B$7</f>
        <v>0.6</v>
      </c>
      <c r="I95" s="24">
        <f t="shared" si="8"/>
        <v>0</v>
      </c>
      <c r="J95" s="24" t="e">
        <f t="shared" si="12"/>
        <v>#NUM!</v>
      </c>
      <c r="K95" s="27" t="e">
        <f t="shared" si="13"/>
        <v>#NUM!</v>
      </c>
    </row>
    <row r="96" spans="1:11" x14ac:dyDescent="0.25">
      <c r="A96" s="26">
        <v>45200</v>
      </c>
      <c r="B96" s="19"/>
      <c r="C96" s="25" t="e">
        <f t="shared" si="14"/>
        <v>#NUM!</v>
      </c>
      <c r="D96" s="25" t="e">
        <f t="shared" si="10"/>
        <v>#NUM!</v>
      </c>
      <c r="E96" s="25">
        <f>'Dados de demanda e evaporação'!$D$16</f>
        <v>0.15190000000000001</v>
      </c>
      <c r="F96" s="25" t="e">
        <f t="shared" si="9"/>
        <v>#NUM!</v>
      </c>
      <c r="G96" s="25" t="e">
        <f t="shared" si="11"/>
        <v>#NUM!</v>
      </c>
      <c r="H96" s="25">
        <f>'Dados de demanda e evaporação'!$B$7</f>
        <v>0.6</v>
      </c>
      <c r="I96" s="25">
        <f t="shared" si="8"/>
        <v>0</v>
      </c>
      <c r="J96" s="25" t="e">
        <f t="shared" si="12"/>
        <v>#NUM!</v>
      </c>
      <c r="K96" s="25" t="e">
        <f t="shared" si="13"/>
        <v>#NUM!</v>
      </c>
    </row>
    <row r="97" spans="1:11" x14ac:dyDescent="0.25">
      <c r="A97" s="26">
        <v>45231</v>
      </c>
      <c r="B97" s="18"/>
      <c r="C97" s="24" t="e">
        <f t="shared" si="14"/>
        <v>#NUM!</v>
      </c>
      <c r="D97" s="24" t="e">
        <f t="shared" si="10"/>
        <v>#NUM!</v>
      </c>
      <c r="E97" s="24">
        <f>'Dados de demanda e evaporação'!$D$17</f>
        <v>0.156</v>
      </c>
      <c r="F97" s="24" t="e">
        <f t="shared" si="9"/>
        <v>#NUM!</v>
      </c>
      <c r="G97" s="24" t="e">
        <f t="shared" si="11"/>
        <v>#NUM!</v>
      </c>
      <c r="H97" s="24">
        <f>'Dados de demanda e evaporação'!$B$7</f>
        <v>0.6</v>
      </c>
      <c r="I97" s="24">
        <f t="shared" si="8"/>
        <v>0</v>
      </c>
      <c r="J97" s="24" t="e">
        <f t="shared" si="12"/>
        <v>#NUM!</v>
      </c>
      <c r="K97" s="27" t="e">
        <f t="shared" si="13"/>
        <v>#NUM!</v>
      </c>
    </row>
    <row r="98" spans="1:11" x14ac:dyDescent="0.25">
      <c r="A98" s="26">
        <v>45261</v>
      </c>
      <c r="B98" s="19"/>
      <c r="C98" s="25" t="e">
        <f t="shared" si="14"/>
        <v>#NUM!</v>
      </c>
      <c r="D98" s="25" t="e">
        <f t="shared" si="10"/>
        <v>#NUM!</v>
      </c>
      <c r="E98" s="25">
        <f>'Dados de demanda e evaporação'!$D$18</f>
        <v>0.16119999999999998</v>
      </c>
      <c r="F98" s="25" t="e">
        <f t="shared" si="9"/>
        <v>#NUM!</v>
      </c>
      <c r="G98" s="25" t="e">
        <f t="shared" si="11"/>
        <v>#NUM!</v>
      </c>
      <c r="H98" s="25">
        <f>'Dados de demanda e evaporação'!$B$7</f>
        <v>0.6</v>
      </c>
      <c r="I98" s="25">
        <f t="shared" si="8"/>
        <v>0</v>
      </c>
      <c r="J98" s="25" t="e">
        <f t="shared" si="12"/>
        <v>#NUM!</v>
      </c>
      <c r="K98" s="25" t="e">
        <f t="shared" si="13"/>
        <v>#NUM!</v>
      </c>
    </row>
    <row r="99" spans="1:11" x14ac:dyDescent="0.25">
      <c r="A99" s="26">
        <v>45292</v>
      </c>
      <c r="B99" s="18"/>
      <c r="C99" s="24" t="e">
        <f t="shared" si="14"/>
        <v>#NUM!</v>
      </c>
      <c r="D99" s="24" t="e">
        <f t="shared" si="10"/>
        <v>#NUM!</v>
      </c>
      <c r="E99" s="24">
        <f>'Dados de demanda e evaporação'!$D79</f>
        <v>0</v>
      </c>
      <c r="F99" s="24" t="e">
        <f t="shared" si="9"/>
        <v>#NUM!</v>
      </c>
      <c r="G99" s="24" t="e">
        <f t="shared" si="11"/>
        <v>#NUM!</v>
      </c>
      <c r="H99" s="24">
        <f>'Dados de demanda e evaporação'!$B$7</f>
        <v>0.6</v>
      </c>
      <c r="I99" s="24">
        <f t="shared" si="8"/>
        <v>0</v>
      </c>
      <c r="J99" s="24" t="e">
        <f t="shared" si="12"/>
        <v>#NUM!</v>
      </c>
      <c r="K99" s="27" t="e">
        <f t="shared" si="13"/>
        <v>#NUM!</v>
      </c>
    </row>
    <row r="100" spans="1:11" x14ac:dyDescent="0.25">
      <c r="A100" s="26">
        <v>45323</v>
      </c>
      <c r="B100" s="19"/>
      <c r="C100" s="25" t="e">
        <f t="shared" si="14"/>
        <v>#NUM!</v>
      </c>
      <c r="D100" s="25" t="e">
        <f t="shared" si="10"/>
        <v>#NUM!</v>
      </c>
      <c r="E100" s="25">
        <f>'Dados de demanda e evaporação'!$D80</f>
        <v>0</v>
      </c>
      <c r="F100" s="25" t="e">
        <f t="shared" si="9"/>
        <v>#NUM!</v>
      </c>
      <c r="G100" s="25" t="e">
        <f t="shared" si="11"/>
        <v>#NUM!</v>
      </c>
      <c r="H100" s="25">
        <f>'Dados de demanda e evaporação'!$B$7</f>
        <v>0.6</v>
      </c>
      <c r="I100" s="25">
        <f t="shared" si="8"/>
        <v>0</v>
      </c>
      <c r="J100" s="25" t="e">
        <f t="shared" si="12"/>
        <v>#NUM!</v>
      </c>
      <c r="K100" s="25" t="e">
        <f t="shared" si="13"/>
        <v>#NUM!</v>
      </c>
    </row>
    <row r="101" spans="1:11" x14ac:dyDescent="0.25">
      <c r="A101" s="26">
        <v>45352</v>
      </c>
      <c r="B101" s="18"/>
      <c r="C101" s="24" t="e">
        <f t="shared" si="14"/>
        <v>#NUM!</v>
      </c>
      <c r="D101" s="24" t="e">
        <f t="shared" si="10"/>
        <v>#NUM!</v>
      </c>
      <c r="E101" s="24">
        <f>'Dados de demanda e evaporação'!$D81</f>
        <v>0</v>
      </c>
      <c r="F101" s="24" t="e">
        <f t="shared" si="9"/>
        <v>#NUM!</v>
      </c>
      <c r="G101" s="24" t="e">
        <f t="shared" si="11"/>
        <v>#NUM!</v>
      </c>
      <c r="H101" s="24">
        <f>'Dados de demanda e evaporação'!$B$7</f>
        <v>0.6</v>
      </c>
      <c r="I101" s="24">
        <f t="shared" si="8"/>
        <v>0</v>
      </c>
      <c r="J101" s="24" t="e">
        <f t="shared" si="12"/>
        <v>#NUM!</v>
      </c>
      <c r="K101" s="27" t="e">
        <f t="shared" si="13"/>
        <v>#NUM!</v>
      </c>
    </row>
    <row r="102" spans="1:11" x14ac:dyDescent="0.25">
      <c r="A102" s="26">
        <v>45383</v>
      </c>
      <c r="B102" s="19"/>
      <c r="C102" s="25" t="e">
        <f t="shared" si="14"/>
        <v>#NUM!</v>
      </c>
      <c r="D102" s="25" t="e">
        <f t="shared" si="10"/>
        <v>#NUM!</v>
      </c>
      <c r="E102" s="25">
        <f>'Dados de demanda e evaporação'!$D82</f>
        <v>0</v>
      </c>
      <c r="F102" s="25" t="e">
        <f t="shared" si="9"/>
        <v>#NUM!</v>
      </c>
      <c r="G102" s="25" t="e">
        <f t="shared" si="11"/>
        <v>#NUM!</v>
      </c>
      <c r="H102" s="25">
        <f>'Dados de demanda e evaporação'!$B$7</f>
        <v>0.6</v>
      </c>
      <c r="I102" s="25">
        <f t="shared" si="8"/>
        <v>0</v>
      </c>
      <c r="J102" s="25" t="e">
        <f t="shared" si="12"/>
        <v>#NUM!</v>
      </c>
      <c r="K102" s="25" t="e">
        <f t="shared" si="13"/>
        <v>#NUM!</v>
      </c>
    </row>
    <row r="103" spans="1:11" x14ac:dyDescent="0.25">
      <c r="A103" s="26">
        <v>45413</v>
      </c>
      <c r="B103" s="18"/>
      <c r="C103" s="24" t="e">
        <f t="shared" si="14"/>
        <v>#NUM!</v>
      </c>
      <c r="D103" s="24" t="e">
        <f t="shared" si="10"/>
        <v>#NUM!</v>
      </c>
      <c r="E103" s="24">
        <f>'Dados de demanda e evaporação'!$D83</f>
        <v>0</v>
      </c>
      <c r="F103" s="24" t="e">
        <f t="shared" si="9"/>
        <v>#NUM!</v>
      </c>
      <c r="G103" s="24" t="e">
        <f t="shared" si="11"/>
        <v>#NUM!</v>
      </c>
      <c r="H103" s="24">
        <f>'Dados de demanda e evaporação'!$B$7</f>
        <v>0.6</v>
      </c>
      <c r="I103" s="24">
        <f t="shared" si="8"/>
        <v>0</v>
      </c>
      <c r="J103" s="24" t="e">
        <f t="shared" si="12"/>
        <v>#NUM!</v>
      </c>
      <c r="K103" s="27" t="e">
        <f t="shared" si="13"/>
        <v>#NUM!</v>
      </c>
    </row>
    <row r="105" spans="1:11" x14ac:dyDescent="0.25">
      <c r="A105" s="23"/>
    </row>
    <row r="106" spans="1:11" x14ac:dyDescent="0.25">
      <c r="A106" s="23"/>
    </row>
    <row r="107" spans="1:11" x14ac:dyDescent="0.25">
      <c r="A107" s="23"/>
    </row>
    <row r="108" spans="1:11" x14ac:dyDescent="0.25">
      <c r="A108" s="23"/>
    </row>
    <row r="109" spans="1:11" x14ac:dyDescent="0.25">
      <c r="A109" s="23"/>
    </row>
    <row r="110" spans="1:11" x14ac:dyDescent="0.25">
      <c r="A110" s="23"/>
    </row>
    <row r="111" spans="1:11" x14ac:dyDescent="0.25">
      <c r="A111" s="23"/>
    </row>
    <row r="112" spans="1:11" x14ac:dyDescent="0.25">
      <c r="A112" s="23"/>
    </row>
  </sheetData>
  <mergeCells count="11">
    <mergeCell ref="G2:AC2"/>
    <mergeCell ref="G3:AC3"/>
    <mergeCell ref="B4:M4"/>
    <mergeCell ref="M19:N19"/>
    <mergeCell ref="L68:P68"/>
    <mergeCell ref="A6:H7"/>
    <mergeCell ref="A9:C9"/>
    <mergeCell ref="A10:C10"/>
    <mergeCell ref="E10:F10"/>
    <mergeCell ref="A11:C11"/>
    <mergeCell ref="A12:C12"/>
  </mergeCell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AB85-0851-4149-A238-EE6BC3479939}">
  <sheetPr>
    <tabColor theme="4"/>
  </sheetPr>
  <dimension ref="A1:P107"/>
  <sheetViews>
    <sheetView workbookViewId="0">
      <selection activeCell="A96" sqref="A96"/>
    </sheetView>
  </sheetViews>
  <sheetFormatPr defaultRowHeight="15" x14ac:dyDescent="0.25"/>
  <cols>
    <col min="1" max="1" width="10.5703125" style="2" bestFit="1" customWidth="1"/>
    <col min="2" max="2" width="26.85546875" style="2" bestFit="1" customWidth="1"/>
    <col min="3" max="3" width="17.7109375" style="2" customWidth="1"/>
    <col min="4" max="4" width="26.42578125" style="2" bestFit="1" customWidth="1"/>
    <col min="5" max="5" width="13.140625" style="2" customWidth="1"/>
    <col min="6" max="6" width="26.28515625" style="2" customWidth="1"/>
    <col min="7" max="7" width="20.28515625" style="2" customWidth="1"/>
    <col min="8" max="8" width="18.42578125" style="2" customWidth="1"/>
    <col min="9" max="9" width="31.28515625" style="2" bestFit="1" customWidth="1"/>
    <col min="10" max="10" width="22" style="2" customWidth="1"/>
    <col min="11" max="11" width="21.42578125" style="2" customWidth="1"/>
    <col min="15" max="15" width="15.28515625" bestFit="1" customWidth="1"/>
  </cols>
  <sheetData>
    <row r="1" spans="1:15" x14ac:dyDescent="0.25">
      <c r="A1" s="61" t="s">
        <v>48</v>
      </c>
      <c r="B1" s="62"/>
      <c r="C1" s="62"/>
      <c r="D1" s="62"/>
      <c r="E1" s="62"/>
      <c r="F1" s="62"/>
      <c r="G1" s="62"/>
      <c r="H1" s="63"/>
    </row>
    <row r="2" spans="1:15" ht="15.75" thickBot="1" x14ac:dyDescent="0.3">
      <c r="A2" s="64"/>
      <c r="B2" s="65"/>
      <c r="C2" s="65"/>
      <c r="D2" s="65"/>
      <c r="E2" s="65"/>
      <c r="F2" s="65"/>
      <c r="G2" s="65"/>
      <c r="H2" s="66"/>
    </row>
    <row r="3" spans="1:15" ht="15.75" thickBot="1" x14ac:dyDescent="0.3"/>
    <row r="4" spans="1:15" ht="18" thickBot="1" x14ac:dyDescent="0.3">
      <c r="A4" s="68" t="s">
        <v>27</v>
      </c>
      <c r="B4" s="69"/>
      <c r="C4" s="70"/>
      <c r="D4" s="20">
        <f>49086672.63</f>
        <v>49086672.630000003</v>
      </c>
      <c r="E4" s="21"/>
      <c r="F4" s="2" t="s">
        <v>47</v>
      </c>
    </row>
    <row r="5" spans="1:15" ht="15.75" thickBot="1" x14ac:dyDescent="0.3">
      <c r="A5" s="68" t="s">
        <v>29</v>
      </c>
      <c r="B5" s="69"/>
      <c r="C5" s="70"/>
      <c r="D5" s="20">
        <v>411686287</v>
      </c>
      <c r="E5" s="67" t="s">
        <v>30</v>
      </c>
      <c r="F5" s="67"/>
    </row>
    <row r="6" spans="1:15" ht="15.75" thickBot="1" x14ac:dyDescent="0.3">
      <c r="A6" s="68" t="s">
        <v>31</v>
      </c>
      <c r="B6" s="69"/>
      <c r="C6" s="70"/>
      <c r="D6" s="20">
        <f>8%*$D$5</f>
        <v>32934902.960000001</v>
      </c>
    </row>
    <row r="7" spans="1:15" ht="15.75" thickBot="1" x14ac:dyDescent="0.3">
      <c r="A7" s="68" t="s">
        <v>32</v>
      </c>
      <c r="B7" s="69"/>
      <c r="C7" s="70"/>
      <c r="D7" s="20">
        <f>D5-D6</f>
        <v>378751384.04000002</v>
      </c>
    </row>
    <row r="11" spans="1:15" ht="17.25" x14ac:dyDescent="0.25">
      <c r="A11" s="15" t="s">
        <v>6</v>
      </c>
      <c r="B11" s="16" t="s">
        <v>35</v>
      </c>
      <c r="C11" s="16" t="s">
        <v>36</v>
      </c>
      <c r="D11" s="16" t="s">
        <v>4</v>
      </c>
      <c r="E11" s="16" t="s">
        <v>37</v>
      </c>
      <c r="F11" s="16" t="s">
        <v>49</v>
      </c>
      <c r="G11" s="16" t="s">
        <v>39</v>
      </c>
      <c r="H11" s="16" t="s">
        <v>40</v>
      </c>
      <c r="I11" s="16" t="s">
        <v>41</v>
      </c>
      <c r="J11" s="16" t="s">
        <v>42</v>
      </c>
      <c r="K11" s="17" t="s">
        <v>43</v>
      </c>
    </row>
    <row r="12" spans="1:15" x14ac:dyDescent="0.25">
      <c r="A12" s="22">
        <v>44621</v>
      </c>
      <c r="B12" s="18">
        <v>31</v>
      </c>
      <c r="C12" s="24">
        <f>$D$4</f>
        <v>49086672.630000003</v>
      </c>
      <c r="D12" s="24">
        <f>-7*10^(-9*(C12))^2+0.3302*(C12)+113508</f>
        <v>16321927.302426001</v>
      </c>
      <c r="E12" s="38">
        <f>'Dados de demanda e evaporação'!$D8</f>
        <v>0.14280000000000001</v>
      </c>
      <c r="F12" s="24">
        <f t="shared" ref="F12:F48" si="0">E12*D12</f>
        <v>2330771.2187864333</v>
      </c>
      <c r="G12" s="24">
        <f>(C12-F12)</f>
        <v>46755901.411213569</v>
      </c>
      <c r="H12" s="24">
        <f>'Dados de demanda e evaporação'!$B$7</f>
        <v>0.6</v>
      </c>
      <c r="I12" s="24">
        <f t="shared" ref="I12:I43" si="1">H12*B12*(3600*24)</f>
        <v>1607039.9999999998</v>
      </c>
      <c r="J12" s="24">
        <f>G12-I12</f>
        <v>45148861.411213569</v>
      </c>
      <c r="K12" s="27">
        <f>IF(J12&lt;$D$5,J12,$D$5)</f>
        <v>45148861.411213569</v>
      </c>
    </row>
    <row r="13" spans="1:15" x14ac:dyDescent="0.25">
      <c r="A13" s="26">
        <v>44652</v>
      </c>
      <c r="B13" s="19">
        <v>30</v>
      </c>
      <c r="C13" s="25">
        <f>K12</f>
        <v>45148861.411213569</v>
      </c>
      <c r="D13" s="25">
        <f t="shared" ref="D13:D66" si="2">-7*10^(-9*(C13))^2+0.3302*(C13)+113508</f>
        <v>15021662.037982721</v>
      </c>
      <c r="E13" s="39">
        <f>'Dados de demanda e evaporação'!$D9</f>
        <v>0.13950000000000001</v>
      </c>
      <c r="F13" s="25">
        <f t="shared" si="0"/>
        <v>2095521.8542985898</v>
      </c>
      <c r="G13" s="25">
        <f t="shared" ref="G13:G66" si="3">(C13-F13)</f>
        <v>43053339.556914978</v>
      </c>
      <c r="H13" s="25">
        <f>'Dados de demanda e evaporação'!$B$7</f>
        <v>0.6</v>
      </c>
      <c r="I13" s="25">
        <f t="shared" si="1"/>
        <v>1555200</v>
      </c>
      <c r="J13" s="25">
        <f t="shared" ref="J13:J66" si="4">G13-I13</f>
        <v>41498139.556914978</v>
      </c>
      <c r="K13" s="25">
        <f t="shared" ref="K13:K66" si="5">IF(J13&lt;$D$5,J13,$D$5)</f>
        <v>41498139.556914978</v>
      </c>
    </row>
    <row r="14" spans="1:15" x14ac:dyDescent="0.25">
      <c r="A14" s="22">
        <v>44682</v>
      </c>
      <c r="B14" s="18">
        <v>31</v>
      </c>
      <c r="C14" s="24">
        <f t="shared" ref="C14:C66" si="6">K13</f>
        <v>41498139.556914978</v>
      </c>
      <c r="D14" s="24">
        <f t="shared" si="2"/>
        <v>13816193.681693325</v>
      </c>
      <c r="E14" s="38">
        <f>'Dados de demanda e evaporação'!$D10</f>
        <v>0.114</v>
      </c>
      <c r="F14" s="24">
        <f t="shared" si="0"/>
        <v>1575046.0797130391</v>
      </c>
      <c r="G14" s="24">
        <f t="shared" si="3"/>
        <v>39923093.477201939</v>
      </c>
      <c r="H14" s="24">
        <f>'Dados de demanda e evaporação'!$B$7</f>
        <v>0.6</v>
      </c>
      <c r="I14" s="24">
        <f t="shared" si="1"/>
        <v>1607039.9999999998</v>
      </c>
      <c r="J14" s="24">
        <f t="shared" si="4"/>
        <v>38316053.477201939</v>
      </c>
      <c r="K14" s="27">
        <f t="shared" si="5"/>
        <v>38316053.477201939</v>
      </c>
      <c r="M14" t="s">
        <v>44</v>
      </c>
      <c r="O14" s="31">
        <f>MIN(K12:K30)</f>
        <v>1399588.488418364</v>
      </c>
    </row>
    <row r="15" spans="1:15" x14ac:dyDescent="0.25">
      <c r="A15" s="26">
        <v>44713</v>
      </c>
      <c r="B15" s="19">
        <v>30</v>
      </c>
      <c r="C15" s="25">
        <f t="shared" si="6"/>
        <v>38316053.477201939</v>
      </c>
      <c r="D15" s="25">
        <f t="shared" si="2"/>
        <v>12765468.85817208</v>
      </c>
      <c r="E15" s="39">
        <f>'Dados de demanda e evaporação'!$D11</f>
        <v>8.9900000000000008E-2</v>
      </c>
      <c r="F15" s="25">
        <f t="shared" si="0"/>
        <v>1147615.6503496701</v>
      </c>
      <c r="G15" s="25">
        <f t="shared" si="3"/>
        <v>37168437.826852269</v>
      </c>
      <c r="H15" s="25">
        <f>'Dados de demanda e evaporação'!$B$7</f>
        <v>0.6</v>
      </c>
      <c r="I15" s="25">
        <f t="shared" si="1"/>
        <v>1555200</v>
      </c>
      <c r="J15" s="25">
        <f t="shared" si="4"/>
        <v>35613237.826852269</v>
      </c>
      <c r="K15" s="25">
        <f t="shared" si="5"/>
        <v>35613237.826852269</v>
      </c>
    </row>
    <row r="16" spans="1:15" x14ac:dyDescent="0.25">
      <c r="A16" s="22">
        <v>44743</v>
      </c>
      <c r="B16" s="18">
        <v>31</v>
      </c>
      <c r="C16" s="24">
        <f t="shared" si="6"/>
        <v>35613237.826852269</v>
      </c>
      <c r="D16" s="24">
        <f t="shared" si="2"/>
        <v>11872999.130426619</v>
      </c>
      <c r="E16" s="38">
        <f>'Dados de demanda e evaporação'!$D12</f>
        <v>7.4999999999999997E-2</v>
      </c>
      <c r="F16" s="24">
        <f t="shared" si="0"/>
        <v>890474.93478199642</v>
      </c>
      <c r="G16" s="24">
        <f t="shared" si="3"/>
        <v>34722762.892070271</v>
      </c>
      <c r="H16" s="24">
        <f>'Dados de demanda e evaporação'!$B$7</f>
        <v>0.6</v>
      </c>
      <c r="I16" s="24">
        <f t="shared" si="1"/>
        <v>1607039.9999999998</v>
      </c>
      <c r="J16" s="24">
        <f t="shared" si="4"/>
        <v>33115722.892070271</v>
      </c>
      <c r="K16" s="27">
        <f t="shared" si="5"/>
        <v>33115722.892070271</v>
      </c>
    </row>
    <row r="17" spans="1:11" x14ac:dyDescent="0.25">
      <c r="A17" s="26">
        <v>44774</v>
      </c>
      <c r="B17" s="19">
        <v>31</v>
      </c>
      <c r="C17" s="25">
        <f t="shared" si="6"/>
        <v>33115722.892070271</v>
      </c>
      <c r="D17" s="25">
        <f t="shared" si="2"/>
        <v>11048319.698961603</v>
      </c>
      <c r="E17" s="39">
        <f>'Dados de demanda e evaporação'!$D13</f>
        <v>8.0599999999999991E-2</v>
      </c>
      <c r="F17" s="25">
        <f t="shared" si="0"/>
        <v>890494.56773630506</v>
      </c>
      <c r="G17" s="25">
        <f t="shared" si="3"/>
        <v>32225228.324333966</v>
      </c>
      <c r="H17" s="25">
        <f>'Dados de demanda e evaporação'!$B$7</f>
        <v>0.6</v>
      </c>
      <c r="I17" s="25">
        <f t="shared" si="1"/>
        <v>1607039.9999999998</v>
      </c>
      <c r="J17" s="25">
        <f t="shared" si="4"/>
        <v>30618188.324333966</v>
      </c>
      <c r="K17" s="25">
        <f t="shared" si="5"/>
        <v>30618188.324333966</v>
      </c>
    </row>
    <row r="18" spans="1:11" x14ac:dyDescent="0.25">
      <c r="A18" s="22">
        <v>44805</v>
      </c>
      <c r="B18" s="18">
        <v>30</v>
      </c>
      <c r="C18" s="24">
        <f t="shared" si="6"/>
        <v>30618188.324333966</v>
      </c>
      <c r="D18" s="24">
        <f t="shared" si="2"/>
        <v>10223633.784695076</v>
      </c>
      <c r="E18" s="38">
        <f>'Dados de demanda e evaporação'!$D14</f>
        <v>9.9199999999999997E-2</v>
      </c>
      <c r="F18" s="24">
        <f t="shared" si="0"/>
        <v>1014184.4714417515</v>
      </c>
      <c r="G18" s="24">
        <f t="shared" si="3"/>
        <v>29604003.852892213</v>
      </c>
      <c r="H18" s="24">
        <f>'Dados de demanda e evaporação'!$B$7</f>
        <v>0.6</v>
      </c>
      <c r="I18" s="24">
        <f t="shared" si="1"/>
        <v>1555200</v>
      </c>
      <c r="J18" s="24">
        <f t="shared" si="4"/>
        <v>28048803.852892213</v>
      </c>
      <c r="K18" s="27">
        <f t="shared" si="5"/>
        <v>28048803.852892213</v>
      </c>
    </row>
    <row r="19" spans="1:11" x14ac:dyDescent="0.25">
      <c r="A19" s="26">
        <v>44835</v>
      </c>
      <c r="B19" s="19">
        <v>31</v>
      </c>
      <c r="C19" s="25">
        <f t="shared" si="6"/>
        <v>28048803.852892213</v>
      </c>
      <c r="D19" s="25">
        <f t="shared" si="2"/>
        <v>9375223.0322250091</v>
      </c>
      <c r="E19" s="39">
        <f>'Dados de demanda e evaporação'!$D15</f>
        <v>0.126</v>
      </c>
      <c r="F19" s="25">
        <f t="shared" si="0"/>
        <v>1181278.1020603511</v>
      </c>
      <c r="G19" s="25">
        <f t="shared" si="3"/>
        <v>26867525.750831861</v>
      </c>
      <c r="H19" s="25">
        <f>'Dados de demanda e evaporação'!$B$7</f>
        <v>0.6</v>
      </c>
      <c r="I19" s="25">
        <f t="shared" si="1"/>
        <v>1607039.9999999998</v>
      </c>
      <c r="J19" s="25">
        <f t="shared" si="4"/>
        <v>25260485.750831861</v>
      </c>
      <c r="K19" s="25">
        <f t="shared" si="5"/>
        <v>25260485.750831861</v>
      </c>
    </row>
    <row r="20" spans="1:11" x14ac:dyDescent="0.25">
      <c r="A20" s="22">
        <v>44866</v>
      </c>
      <c r="B20" s="18">
        <v>30</v>
      </c>
      <c r="C20" s="24">
        <f t="shared" si="6"/>
        <v>25260485.750831861</v>
      </c>
      <c r="D20" s="24">
        <f t="shared" si="2"/>
        <v>8454520.3949246816</v>
      </c>
      <c r="E20" s="38">
        <f>'Dados de demanda e evaporação'!$D16</f>
        <v>0.15190000000000001</v>
      </c>
      <c r="F20" s="24">
        <f t="shared" si="0"/>
        <v>1284241.6479890591</v>
      </c>
      <c r="G20" s="24">
        <f t="shared" si="3"/>
        <v>23976244.1028428</v>
      </c>
      <c r="H20" s="24">
        <f>'Dados de demanda e evaporação'!$B$7</f>
        <v>0.6</v>
      </c>
      <c r="I20" s="24">
        <f t="shared" si="1"/>
        <v>1555200</v>
      </c>
      <c r="J20" s="24">
        <f t="shared" si="4"/>
        <v>22421044.1028428</v>
      </c>
      <c r="K20" s="27">
        <f t="shared" si="5"/>
        <v>22421044.1028428</v>
      </c>
    </row>
    <row r="21" spans="1:11" x14ac:dyDescent="0.25">
      <c r="A21" s="26">
        <v>44896</v>
      </c>
      <c r="B21" s="19">
        <v>31</v>
      </c>
      <c r="C21" s="25">
        <f t="shared" si="6"/>
        <v>22421044.1028428</v>
      </c>
      <c r="D21" s="25">
        <f t="shared" si="2"/>
        <v>7516936.7627586927</v>
      </c>
      <c r="E21" s="39">
        <f>'Dados de demanda e evaporação'!$D17</f>
        <v>0.156</v>
      </c>
      <c r="F21" s="25">
        <f t="shared" si="0"/>
        <v>1172642.1349903562</v>
      </c>
      <c r="G21" s="25">
        <f t="shared" si="3"/>
        <v>21248401.967852443</v>
      </c>
      <c r="H21" s="25">
        <f>'Dados de demanda e evaporação'!$B$7</f>
        <v>0.6</v>
      </c>
      <c r="I21" s="25">
        <f t="shared" si="1"/>
        <v>1607039.9999999998</v>
      </c>
      <c r="J21" s="25">
        <f t="shared" si="4"/>
        <v>19641361.967852443</v>
      </c>
      <c r="K21" s="25">
        <f t="shared" si="5"/>
        <v>19641361.967852443</v>
      </c>
    </row>
    <row r="22" spans="1:11" x14ac:dyDescent="0.25">
      <c r="A22" s="22">
        <v>44927</v>
      </c>
      <c r="B22" s="18">
        <v>31</v>
      </c>
      <c r="C22" s="24">
        <f t="shared" si="6"/>
        <v>19641361.967852443</v>
      </c>
      <c r="D22" s="24">
        <f t="shared" si="2"/>
        <v>6599085.7217848767</v>
      </c>
      <c r="E22" s="38">
        <f>'Dados de demanda e evaporação'!$D$7</f>
        <v>0.16119999999999998</v>
      </c>
      <c r="F22" s="24">
        <f t="shared" si="0"/>
        <v>1063772.6183517219</v>
      </c>
      <c r="G22" s="24">
        <f t="shared" si="3"/>
        <v>18577589.349500723</v>
      </c>
      <c r="H22" s="24">
        <f>'Dados de demanda e evaporação'!$B$7</f>
        <v>0.6</v>
      </c>
      <c r="I22" s="24">
        <f t="shared" si="1"/>
        <v>1607039.9999999998</v>
      </c>
      <c r="J22" s="24">
        <f t="shared" si="4"/>
        <v>16970549.349500723</v>
      </c>
      <c r="K22" s="27">
        <f t="shared" si="5"/>
        <v>16970549.349500723</v>
      </c>
    </row>
    <row r="23" spans="1:11" x14ac:dyDescent="0.25">
      <c r="A23" s="26">
        <v>44958</v>
      </c>
      <c r="B23" s="19">
        <v>28</v>
      </c>
      <c r="C23" s="25">
        <f t="shared" si="6"/>
        <v>16970549.349500723</v>
      </c>
      <c r="D23" s="25">
        <f t="shared" si="2"/>
        <v>5717183.3952051383</v>
      </c>
      <c r="E23" s="39">
        <f>'Dados de demanda e evaporação'!$D$8</f>
        <v>0.14280000000000001</v>
      </c>
      <c r="F23" s="25">
        <f t="shared" si="0"/>
        <v>816413.78883529385</v>
      </c>
      <c r="G23" s="25">
        <f t="shared" si="3"/>
        <v>16154135.560665429</v>
      </c>
      <c r="H23" s="25">
        <f>'Dados de demanda e evaporação'!$B$7</f>
        <v>0.6</v>
      </c>
      <c r="I23" s="25">
        <f t="shared" si="1"/>
        <v>1451520</v>
      </c>
      <c r="J23" s="25">
        <f t="shared" si="4"/>
        <v>14702615.560665429</v>
      </c>
      <c r="K23" s="25">
        <f t="shared" si="5"/>
        <v>14702615.560665429</v>
      </c>
    </row>
    <row r="24" spans="1:11" x14ac:dyDescent="0.25">
      <c r="A24" s="22">
        <v>44986</v>
      </c>
      <c r="B24" s="18">
        <v>31</v>
      </c>
      <c r="C24" s="24">
        <f t="shared" si="6"/>
        <v>14702615.560665429</v>
      </c>
      <c r="D24" s="24">
        <f t="shared" si="2"/>
        <v>4968311.6581317242</v>
      </c>
      <c r="E24" s="38">
        <f>'Dados de demanda e evaporação'!$D$9</f>
        <v>0.13950000000000001</v>
      </c>
      <c r="F24" s="24">
        <f t="shared" si="0"/>
        <v>693079.4763093756</v>
      </c>
      <c r="G24" s="24">
        <f t="shared" si="3"/>
        <v>14009536.084356053</v>
      </c>
      <c r="H24" s="24">
        <f>'Dados de demanda e evaporação'!$B$7</f>
        <v>0.6</v>
      </c>
      <c r="I24" s="24">
        <f t="shared" si="1"/>
        <v>1607039.9999999998</v>
      </c>
      <c r="J24" s="24">
        <f t="shared" si="4"/>
        <v>12402496.084356053</v>
      </c>
      <c r="K24" s="27">
        <f t="shared" si="5"/>
        <v>12402496.084356053</v>
      </c>
    </row>
    <row r="25" spans="1:11" x14ac:dyDescent="0.25">
      <c r="A25" s="26">
        <v>45017</v>
      </c>
      <c r="B25" s="19">
        <v>30</v>
      </c>
      <c r="C25" s="25">
        <f t="shared" si="6"/>
        <v>12402496.084356053</v>
      </c>
      <c r="D25" s="25">
        <f t="shared" si="2"/>
        <v>4208812.2070543692</v>
      </c>
      <c r="E25" s="39">
        <f>'Dados de demanda e evaporação'!$D$10</f>
        <v>0.114</v>
      </c>
      <c r="F25" s="25">
        <f t="shared" si="0"/>
        <v>479804.5916041981</v>
      </c>
      <c r="G25" s="25">
        <f t="shared" si="3"/>
        <v>11922691.492751855</v>
      </c>
      <c r="H25" s="25">
        <f>'Dados de demanda e evaporação'!$B$7</f>
        <v>0.6</v>
      </c>
      <c r="I25" s="25">
        <f t="shared" si="1"/>
        <v>1555200</v>
      </c>
      <c r="J25" s="25">
        <f t="shared" si="4"/>
        <v>10367491.492751855</v>
      </c>
      <c r="K25" s="25">
        <f t="shared" si="5"/>
        <v>10367491.492751855</v>
      </c>
    </row>
    <row r="26" spans="1:11" x14ac:dyDescent="0.25">
      <c r="A26" s="22">
        <v>45047</v>
      </c>
      <c r="B26" s="18">
        <v>31</v>
      </c>
      <c r="C26" s="24">
        <f t="shared" si="6"/>
        <v>10367491.492751855</v>
      </c>
      <c r="D26" s="24">
        <f t="shared" si="2"/>
        <v>3536853.6909066625</v>
      </c>
      <c r="E26" s="38">
        <f>'Dados de demanda e evaporação'!$D$11</f>
        <v>8.9900000000000008E-2</v>
      </c>
      <c r="F26" s="24">
        <f t="shared" si="0"/>
        <v>317963.14681250899</v>
      </c>
      <c r="G26" s="24">
        <f t="shared" si="3"/>
        <v>10049528.345939346</v>
      </c>
      <c r="H26" s="24">
        <f>'Dados de demanda e evaporação'!$B$7</f>
        <v>0.6</v>
      </c>
      <c r="I26" s="24">
        <f t="shared" si="1"/>
        <v>1607039.9999999998</v>
      </c>
      <c r="J26" s="24">
        <f t="shared" si="4"/>
        <v>8442488.3459393457</v>
      </c>
      <c r="K26" s="27">
        <f t="shared" si="5"/>
        <v>8442488.3459393457</v>
      </c>
    </row>
    <row r="27" spans="1:11" x14ac:dyDescent="0.25">
      <c r="A27" s="26">
        <v>45078</v>
      </c>
      <c r="B27" s="19">
        <v>30</v>
      </c>
      <c r="C27" s="25">
        <f t="shared" si="6"/>
        <v>8442488.3459393457</v>
      </c>
      <c r="D27" s="25">
        <f t="shared" si="2"/>
        <v>2901217.6518291719</v>
      </c>
      <c r="E27" s="39">
        <f>'Dados de demanda e evaporação'!$D$12</f>
        <v>7.4999999999999997E-2</v>
      </c>
      <c r="F27" s="25">
        <f t="shared" si="0"/>
        <v>217591.3238871879</v>
      </c>
      <c r="G27" s="25">
        <f t="shared" si="3"/>
        <v>8224897.0220521577</v>
      </c>
      <c r="H27" s="25">
        <f>'Dados de demanda e evaporação'!$B$7</f>
        <v>0.6</v>
      </c>
      <c r="I27" s="25">
        <f t="shared" si="1"/>
        <v>1555200</v>
      </c>
      <c r="J27" s="25">
        <f t="shared" si="4"/>
        <v>6669697.0220521577</v>
      </c>
      <c r="K27" s="25">
        <f t="shared" si="5"/>
        <v>6669697.0220521577</v>
      </c>
    </row>
    <row r="28" spans="1:11" x14ac:dyDescent="0.25">
      <c r="A28" s="22">
        <v>45108</v>
      </c>
      <c r="B28" s="18">
        <v>31</v>
      </c>
      <c r="C28" s="24">
        <f t="shared" si="6"/>
        <v>6669697.0220521577</v>
      </c>
      <c r="D28" s="24">
        <f t="shared" si="2"/>
        <v>2315841.9566816222</v>
      </c>
      <c r="E28" s="38">
        <f>'Dados de demanda e evaporação'!$D$13</f>
        <v>8.0599999999999991E-2</v>
      </c>
      <c r="F28" s="24">
        <f t="shared" si="0"/>
        <v>186656.86170853872</v>
      </c>
      <c r="G28" s="24">
        <f t="shared" si="3"/>
        <v>6483040.1603436191</v>
      </c>
      <c r="H28" s="24">
        <f>'Dados de demanda e evaporação'!$B$7</f>
        <v>0.6</v>
      </c>
      <c r="I28" s="24">
        <f t="shared" si="1"/>
        <v>1607039.9999999998</v>
      </c>
      <c r="J28" s="24">
        <f t="shared" si="4"/>
        <v>4876000.1603436191</v>
      </c>
      <c r="K28" s="27">
        <f t="shared" si="5"/>
        <v>4876000.1603436191</v>
      </c>
    </row>
    <row r="29" spans="1:11" x14ac:dyDescent="0.25">
      <c r="A29" s="26">
        <v>45139</v>
      </c>
      <c r="B29" s="19">
        <v>31</v>
      </c>
      <c r="C29" s="25">
        <f t="shared" si="6"/>
        <v>4876000.1603436191</v>
      </c>
      <c r="D29" s="25">
        <f t="shared" si="2"/>
        <v>1723563.2529454629</v>
      </c>
      <c r="E29" s="39">
        <f>'Dados de demanda e evaporação'!$D$14</f>
        <v>9.9199999999999997E-2</v>
      </c>
      <c r="F29" s="25">
        <f t="shared" si="0"/>
        <v>170977.47469218992</v>
      </c>
      <c r="G29" s="25">
        <f t="shared" si="3"/>
        <v>4705022.685651429</v>
      </c>
      <c r="H29" s="25">
        <f>'Dados de demanda e evaporação'!$B$7</f>
        <v>0.6</v>
      </c>
      <c r="I29" s="25">
        <f t="shared" si="1"/>
        <v>1607039.9999999998</v>
      </c>
      <c r="J29" s="25">
        <f t="shared" si="4"/>
        <v>3097982.685651429</v>
      </c>
      <c r="K29" s="25">
        <f t="shared" si="5"/>
        <v>3097982.685651429</v>
      </c>
    </row>
    <row r="30" spans="1:11" x14ac:dyDescent="0.25">
      <c r="A30" s="22">
        <v>45170</v>
      </c>
      <c r="B30" s="18">
        <v>30</v>
      </c>
      <c r="C30" s="24">
        <f t="shared" si="6"/>
        <v>3097982.685651429</v>
      </c>
      <c r="D30" s="24">
        <f t="shared" si="2"/>
        <v>1136461.8828021018</v>
      </c>
      <c r="E30" s="38">
        <f>'Dados de demanda e evaporação'!$D$15</f>
        <v>0.126</v>
      </c>
      <c r="F30" s="24">
        <f t="shared" si="0"/>
        <v>143194.19723306483</v>
      </c>
      <c r="G30" s="24">
        <f t="shared" si="3"/>
        <v>2954788.488418364</v>
      </c>
      <c r="H30" s="24">
        <f>'Dados de demanda e evaporação'!$B$7</f>
        <v>0.6</v>
      </c>
      <c r="I30" s="24">
        <f t="shared" si="1"/>
        <v>1555200</v>
      </c>
      <c r="J30" s="24">
        <f t="shared" si="4"/>
        <v>1399588.488418364</v>
      </c>
      <c r="K30" s="27">
        <f t="shared" si="5"/>
        <v>1399588.488418364</v>
      </c>
    </row>
    <row r="31" spans="1:11" x14ac:dyDescent="0.25">
      <c r="A31" s="32">
        <v>45200</v>
      </c>
      <c r="B31" s="36">
        <v>31</v>
      </c>
      <c r="C31" s="37">
        <f t="shared" si="6"/>
        <v>1399588.488418364</v>
      </c>
      <c r="D31" s="37">
        <f t="shared" si="2"/>
        <v>575652.11887574382</v>
      </c>
      <c r="E31" s="40">
        <f>'Dados de demanda e evaporação'!$D$16</f>
        <v>0.15190000000000001</v>
      </c>
      <c r="F31" s="37">
        <f t="shared" si="0"/>
        <v>87441.556857225485</v>
      </c>
      <c r="G31" s="37">
        <f t="shared" si="3"/>
        <v>1312146.9315611385</v>
      </c>
      <c r="H31" s="37">
        <f>'Dados de demanda e evaporação'!$B$7</f>
        <v>0.6</v>
      </c>
      <c r="I31" s="37">
        <f t="shared" si="1"/>
        <v>1607039.9999999998</v>
      </c>
      <c r="J31" s="37">
        <f t="shared" si="4"/>
        <v>-294893.06843886129</v>
      </c>
      <c r="K31" s="37">
        <f t="shared" si="5"/>
        <v>-294893.06843886129</v>
      </c>
    </row>
    <row r="32" spans="1:11" x14ac:dyDescent="0.25">
      <c r="A32" s="22">
        <v>45231</v>
      </c>
      <c r="B32" s="18">
        <v>30</v>
      </c>
      <c r="C32" s="24">
        <f t="shared" si="6"/>
        <v>-294893.06843886129</v>
      </c>
      <c r="D32" s="24" t="e">
        <f t="shared" si="2"/>
        <v>#NUM!</v>
      </c>
      <c r="E32" s="38">
        <f>'Dados de demanda e evaporação'!$D$17</f>
        <v>0.156</v>
      </c>
      <c r="F32" s="24" t="e">
        <f t="shared" si="0"/>
        <v>#NUM!</v>
      </c>
      <c r="G32" s="24" t="e">
        <f t="shared" si="3"/>
        <v>#NUM!</v>
      </c>
      <c r="H32" s="24">
        <f>'Dados de demanda e evaporação'!$B$7</f>
        <v>0.6</v>
      </c>
      <c r="I32" s="24">
        <f t="shared" si="1"/>
        <v>1555200</v>
      </c>
      <c r="J32" s="24" t="e">
        <f t="shared" si="4"/>
        <v>#NUM!</v>
      </c>
      <c r="K32" s="27" t="e">
        <f t="shared" si="5"/>
        <v>#NUM!</v>
      </c>
    </row>
    <row r="33" spans="1:16" x14ac:dyDescent="0.25">
      <c r="A33" s="26">
        <v>45261</v>
      </c>
      <c r="B33" s="19">
        <v>31</v>
      </c>
      <c r="C33" s="25" t="e">
        <f t="shared" si="6"/>
        <v>#NUM!</v>
      </c>
      <c r="D33" s="25" t="e">
        <f t="shared" si="2"/>
        <v>#NUM!</v>
      </c>
      <c r="E33" s="39">
        <f>'Dados de demanda e evaporação'!$D$18</f>
        <v>0.16119999999999998</v>
      </c>
      <c r="F33" s="25" t="e">
        <f t="shared" si="0"/>
        <v>#NUM!</v>
      </c>
      <c r="G33" s="25" t="e">
        <f t="shared" si="3"/>
        <v>#NUM!</v>
      </c>
      <c r="H33" s="25">
        <f>'Dados de demanda e evaporação'!$B$7</f>
        <v>0.6</v>
      </c>
      <c r="I33" s="25">
        <f t="shared" si="1"/>
        <v>1607039.9999999998</v>
      </c>
      <c r="J33" s="25" t="e">
        <f t="shared" si="4"/>
        <v>#NUM!</v>
      </c>
      <c r="K33" s="25" t="e">
        <f t="shared" si="5"/>
        <v>#NUM!</v>
      </c>
    </row>
    <row r="34" spans="1:16" x14ac:dyDescent="0.25">
      <c r="A34" s="22">
        <v>45292</v>
      </c>
      <c r="B34" s="18">
        <v>31</v>
      </c>
      <c r="C34" s="24" t="e">
        <f t="shared" si="6"/>
        <v>#NUM!</v>
      </c>
      <c r="D34" s="24" t="e">
        <f t="shared" si="2"/>
        <v>#NUM!</v>
      </c>
      <c r="E34" s="38">
        <f>'Dados de demanda e evaporação'!$D$7</f>
        <v>0.16119999999999998</v>
      </c>
      <c r="F34" s="24" t="e">
        <f t="shared" si="0"/>
        <v>#NUM!</v>
      </c>
      <c r="G34" s="24" t="e">
        <f t="shared" si="3"/>
        <v>#NUM!</v>
      </c>
      <c r="H34" s="24">
        <f>'Dados de demanda e evaporação'!$B$7</f>
        <v>0.6</v>
      </c>
      <c r="I34" s="24">
        <f t="shared" si="1"/>
        <v>1607039.9999999998</v>
      </c>
      <c r="J34" s="24" t="e">
        <f t="shared" si="4"/>
        <v>#NUM!</v>
      </c>
      <c r="K34" s="27" t="e">
        <f t="shared" si="5"/>
        <v>#NUM!</v>
      </c>
    </row>
    <row r="35" spans="1:16" x14ac:dyDescent="0.25">
      <c r="A35" s="26">
        <v>45323</v>
      </c>
      <c r="B35" s="19">
        <v>28</v>
      </c>
      <c r="C35" s="25" t="e">
        <f t="shared" si="6"/>
        <v>#NUM!</v>
      </c>
      <c r="D35" s="25" t="e">
        <f t="shared" si="2"/>
        <v>#NUM!</v>
      </c>
      <c r="E35" s="25">
        <f>'Dados de demanda e evaporação'!$D$8</f>
        <v>0.14280000000000001</v>
      </c>
      <c r="F35" s="25" t="e">
        <f t="shared" si="0"/>
        <v>#NUM!</v>
      </c>
      <c r="G35" s="25" t="e">
        <f t="shared" si="3"/>
        <v>#NUM!</v>
      </c>
      <c r="H35" s="25">
        <f>'Dados de demanda e evaporação'!$B$7</f>
        <v>0.6</v>
      </c>
      <c r="I35" s="25">
        <f t="shared" si="1"/>
        <v>1451520</v>
      </c>
      <c r="J35" s="25" t="e">
        <f t="shared" si="4"/>
        <v>#NUM!</v>
      </c>
      <c r="K35" s="25" t="e">
        <f t="shared" si="5"/>
        <v>#NUM!</v>
      </c>
    </row>
    <row r="36" spans="1:16" x14ac:dyDescent="0.25">
      <c r="A36" s="22">
        <v>45352</v>
      </c>
      <c r="B36" s="18">
        <v>31</v>
      </c>
      <c r="C36" s="24" t="e">
        <f t="shared" si="6"/>
        <v>#NUM!</v>
      </c>
      <c r="D36" s="24" t="e">
        <f t="shared" si="2"/>
        <v>#NUM!</v>
      </c>
      <c r="E36" s="38">
        <f>'Dados de demanda e evaporação'!$D$9</f>
        <v>0.13950000000000001</v>
      </c>
      <c r="F36" s="24" t="e">
        <f t="shared" si="0"/>
        <v>#NUM!</v>
      </c>
      <c r="G36" s="24" t="e">
        <f t="shared" si="3"/>
        <v>#NUM!</v>
      </c>
      <c r="H36" s="24">
        <f>'Dados de demanda e evaporação'!$B$7</f>
        <v>0.6</v>
      </c>
      <c r="I36" s="24">
        <f t="shared" si="1"/>
        <v>1607039.9999999998</v>
      </c>
      <c r="J36" s="24" t="e">
        <f t="shared" si="4"/>
        <v>#NUM!</v>
      </c>
      <c r="K36" s="27" t="e">
        <f t="shared" si="5"/>
        <v>#NUM!</v>
      </c>
    </row>
    <row r="37" spans="1:16" x14ac:dyDescent="0.25">
      <c r="A37" s="26">
        <v>45383</v>
      </c>
      <c r="B37" s="19">
        <v>30</v>
      </c>
      <c r="C37" s="25" t="e">
        <f t="shared" si="6"/>
        <v>#NUM!</v>
      </c>
      <c r="D37" s="25" t="e">
        <f t="shared" si="2"/>
        <v>#NUM!</v>
      </c>
      <c r="E37" s="39">
        <f>'Dados de demanda e evaporação'!$D$10</f>
        <v>0.114</v>
      </c>
      <c r="F37" s="25" t="e">
        <f t="shared" si="0"/>
        <v>#NUM!</v>
      </c>
      <c r="G37" s="25" t="e">
        <f t="shared" si="3"/>
        <v>#NUM!</v>
      </c>
      <c r="H37" s="25">
        <f>'Dados de demanda e evaporação'!$B$7</f>
        <v>0.6</v>
      </c>
      <c r="I37" s="25">
        <f t="shared" si="1"/>
        <v>1555200</v>
      </c>
      <c r="J37" s="25" t="e">
        <f t="shared" si="4"/>
        <v>#NUM!</v>
      </c>
      <c r="K37" s="25" t="e">
        <f t="shared" si="5"/>
        <v>#NUM!</v>
      </c>
    </row>
    <row r="38" spans="1:16" x14ac:dyDescent="0.25">
      <c r="A38" s="22">
        <v>45413</v>
      </c>
      <c r="B38" s="18">
        <v>31</v>
      </c>
      <c r="C38" s="24" t="e">
        <f t="shared" si="6"/>
        <v>#NUM!</v>
      </c>
      <c r="D38" s="24" t="e">
        <f t="shared" si="2"/>
        <v>#NUM!</v>
      </c>
      <c r="E38" s="38">
        <f>'Dados de demanda e evaporação'!$D$11</f>
        <v>8.9900000000000008E-2</v>
      </c>
      <c r="F38" s="24" t="e">
        <f t="shared" si="0"/>
        <v>#NUM!</v>
      </c>
      <c r="G38" s="24" t="e">
        <f t="shared" si="3"/>
        <v>#NUM!</v>
      </c>
      <c r="H38" s="24">
        <f>'Dados de demanda e evaporação'!$B$7</f>
        <v>0.6</v>
      </c>
      <c r="I38" s="24">
        <f t="shared" si="1"/>
        <v>1607039.9999999998</v>
      </c>
      <c r="J38" s="24" t="e">
        <f t="shared" si="4"/>
        <v>#NUM!</v>
      </c>
      <c r="K38" s="27" t="e">
        <f t="shared" si="5"/>
        <v>#NUM!</v>
      </c>
    </row>
    <row r="39" spans="1:16" x14ac:dyDescent="0.25">
      <c r="A39" s="26">
        <v>45444</v>
      </c>
      <c r="B39" s="19">
        <v>30</v>
      </c>
      <c r="C39" s="25" t="e">
        <f t="shared" si="6"/>
        <v>#NUM!</v>
      </c>
      <c r="D39" s="25" t="e">
        <f t="shared" si="2"/>
        <v>#NUM!</v>
      </c>
      <c r="E39" s="39">
        <f>'Dados de demanda e evaporação'!$D$12</f>
        <v>7.4999999999999997E-2</v>
      </c>
      <c r="F39" s="25" t="e">
        <f t="shared" si="0"/>
        <v>#NUM!</v>
      </c>
      <c r="G39" s="25" t="e">
        <f t="shared" si="3"/>
        <v>#NUM!</v>
      </c>
      <c r="H39" s="25">
        <f>'Dados de demanda e evaporação'!$B$7</f>
        <v>0.6</v>
      </c>
      <c r="I39" s="25">
        <f t="shared" si="1"/>
        <v>1555200</v>
      </c>
      <c r="J39" s="25" t="e">
        <f t="shared" si="4"/>
        <v>#NUM!</v>
      </c>
      <c r="K39" s="25" t="e">
        <f t="shared" si="5"/>
        <v>#NUM!</v>
      </c>
    </row>
    <row r="40" spans="1:16" x14ac:dyDescent="0.25">
      <c r="A40" s="22">
        <v>45474</v>
      </c>
      <c r="B40" s="18">
        <v>31</v>
      </c>
      <c r="C40" s="24" t="e">
        <f t="shared" si="6"/>
        <v>#NUM!</v>
      </c>
      <c r="D40" s="24" t="e">
        <f t="shared" si="2"/>
        <v>#NUM!</v>
      </c>
      <c r="E40" s="38">
        <f>'Dados de demanda e evaporação'!$D$13</f>
        <v>8.0599999999999991E-2</v>
      </c>
      <c r="F40" s="24" t="e">
        <f t="shared" si="0"/>
        <v>#NUM!</v>
      </c>
      <c r="G40" s="24" t="e">
        <f t="shared" si="3"/>
        <v>#NUM!</v>
      </c>
      <c r="H40" s="24">
        <f>'Dados de demanda e evaporação'!$B$7</f>
        <v>0.6</v>
      </c>
      <c r="I40" s="24">
        <f t="shared" si="1"/>
        <v>1607039.9999999998</v>
      </c>
      <c r="J40" s="24" t="e">
        <f t="shared" si="4"/>
        <v>#NUM!</v>
      </c>
      <c r="K40" s="27" t="e">
        <f t="shared" si="5"/>
        <v>#NUM!</v>
      </c>
    </row>
    <row r="41" spans="1:16" x14ac:dyDescent="0.25">
      <c r="A41" s="26">
        <v>45505</v>
      </c>
      <c r="B41" s="19">
        <v>31</v>
      </c>
      <c r="C41" s="25" t="e">
        <f t="shared" si="6"/>
        <v>#NUM!</v>
      </c>
      <c r="D41" s="25" t="e">
        <f t="shared" si="2"/>
        <v>#NUM!</v>
      </c>
      <c r="E41" s="39">
        <f>'Dados de demanda e evaporação'!$D$14</f>
        <v>9.9199999999999997E-2</v>
      </c>
      <c r="F41" s="25" t="e">
        <f t="shared" si="0"/>
        <v>#NUM!</v>
      </c>
      <c r="G41" s="25" t="e">
        <f t="shared" si="3"/>
        <v>#NUM!</v>
      </c>
      <c r="H41" s="25">
        <f>'Dados de demanda e evaporação'!$B$7</f>
        <v>0.6</v>
      </c>
      <c r="I41" s="25">
        <f t="shared" si="1"/>
        <v>1607039.9999999998</v>
      </c>
      <c r="J41" s="25" t="e">
        <f t="shared" si="4"/>
        <v>#NUM!</v>
      </c>
      <c r="K41" s="25" t="e">
        <f t="shared" si="5"/>
        <v>#NUM!</v>
      </c>
    </row>
    <row r="42" spans="1:16" x14ac:dyDescent="0.25">
      <c r="A42" s="22">
        <v>45536</v>
      </c>
      <c r="B42" s="18">
        <v>30</v>
      </c>
      <c r="C42" s="24" t="e">
        <f t="shared" si="6"/>
        <v>#NUM!</v>
      </c>
      <c r="D42" s="24" t="e">
        <f t="shared" si="2"/>
        <v>#NUM!</v>
      </c>
      <c r="E42" s="38">
        <f>'Dados de demanda e evaporação'!$D$15</f>
        <v>0.126</v>
      </c>
      <c r="F42" s="24" t="e">
        <f t="shared" si="0"/>
        <v>#NUM!</v>
      </c>
      <c r="G42" s="24" t="e">
        <f t="shared" si="3"/>
        <v>#NUM!</v>
      </c>
      <c r="H42" s="24">
        <f>'Dados de demanda e evaporação'!$B$7</f>
        <v>0.6</v>
      </c>
      <c r="I42" s="24">
        <f t="shared" si="1"/>
        <v>1555200</v>
      </c>
      <c r="J42" s="24" t="e">
        <f t="shared" si="4"/>
        <v>#NUM!</v>
      </c>
      <c r="K42" s="27" t="e">
        <f t="shared" si="5"/>
        <v>#NUM!</v>
      </c>
    </row>
    <row r="43" spans="1:16" x14ac:dyDescent="0.25">
      <c r="A43" s="26">
        <v>45566</v>
      </c>
      <c r="B43" s="19">
        <v>31</v>
      </c>
      <c r="C43" s="25" t="e">
        <f t="shared" si="6"/>
        <v>#NUM!</v>
      </c>
      <c r="D43" s="25" t="e">
        <f t="shared" si="2"/>
        <v>#NUM!</v>
      </c>
      <c r="E43" s="39">
        <f>'Dados de demanda e evaporação'!$D$16</f>
        <v>0.15190000000000001</v>
      </c>
      <c r="F43" s="25" t="e">
        <f t="shared" si="0"/>
        <v>#NUM!</v>
      </c>
      <c r="G43" s="25" t="e">
        <f t="shared" si="3"/>
        <v>#NUM!</v>
      </c>
      <c r="H43" s="25">
        <f>'Dados de demanda e evaporação'!$B$7</f>
        <v>0.6</v>
      </c>
      <c r="I43" s="25">
        <f t="shared" si="1"/>
        <v>1607039.9999999998</v>
      </c>
      <c r="J43" s="25" t="e">
        <f t="shared" si="4"/>
        <v>#NUM!</v>
      </c>
      <c r="K43" s="25" t="e">
        <f t="shared" si="5"/>
        <v>#NUM!</v>
      </c>
    </row>
    <row r="44" spans="1:16" x14ac:dyDescent="0.25">
      <c r="A44" s="22">
        <v>45597</v>
      </c>
      <c r="B44" s="18">
        <v>30</v>
      </c>
      <c r="C44" s="24" t="e">
        <f t="shared" si="6"/>
        <v>#NUM!</v>
      </c>
      <c r="D44" s="24" t="e">
        <f t="shared" si="2"/>
        <v>#NUM!</v>
      </c>
      <c r="E44" s="38">
        <f>'Dados de demanda e evaporação'!$D$17</f>
        <v>0.156</v>
      </c>
      <c r="F44" s="24" t="e">
        <f t="shared" si="0"/>
        <v>#NUM!</v>
      </c>
      <c r="G44" s="24" t="e">
        <f t="shared" si="3"/>
        <v>#NUM!</v>
      </c>
      <c r="H44" s="24">
        <f>'Dados de demanda e evaporação'!$B$7</f>
        <v>0.6</v>
      </c>
      <c r="I44" s="24">
        <f t="shared" ref="I44:I66" si="7">H44*B44*(3600*24)</f>
        <v>1555200</v>
      </c>
      <c r="J44" s="24" t="e">
        <f t="shared" si="4"/>
        <v>#NUM!</v>
      </c>
      <c r="K44" s="27" t="e">
        <f t="shared" si="5"/>
        <v>#NUM!</v>
      </c>
    </row>
    <row r="45" spans="1:16" ht="15.75" thickBot="1" x14ac:dyDescent="0.3">
      <c r="A45" s="41">
        <v>45627</v>
      </c>
      <c r="B45" s="46">
        <v>31</v>
      </c>
      <c r="C45" s="47" t="e">
        <f t="shared" si="6"/>
        <v>#NUM!</v>
      </c>
      <c r="D45" s="47" t="e">
        <f t="shared" si="2"/>
        <v>#NUM!</v>
      </c>
      <c r="E45" s="44">
        <f>'Dados de demanda e evaporação'!$D$18</f>
        <v>0.16119999999999998</v>
      </c>
      <c r="F45" s="47" t="e">
        <f t="shared" si="0"/>
        <v>#NUM!</v>
      </c>
      <c r="G45" s="47" t="e">
        <f t="shared" si="3"/>
        <v>#NUM!</v>
      </c>
      <c r="H45" s="47">
        <f>'Dados de demanda e evaporação'!$B$7</f>
        <v>0.6</v>
      </c>
      <c r="I45" s="47">
        <f t="shared" si="7"/>
        <v>1607039.9999999998</v>
      </c>
      <c r="J45" s="47" t="e">
        <f t="shared" si="4"/>
        <v>#NUM!</v>
      </c>
      <c r="K45" s="47" t="e">
        <f t="shared" si="5"/>
        <v>#NUM!</v>
      </c>
    </row>
    <row r="46" spans="1:16" ht="15.75" thickBot="1" x14ac:dyDescent="0.3">
      <c r="A46" s="22">
        <v>45658</v>
      </c>
      <c r="B46" s="18">
        <v>31</v>
      </c>
      <c r="C46" s="24" t="e">
        <f t="shared" si="6"/>
        <v>#NUM!</v>
      </c>
      <c r="D46" s="24" t="e">
        <f t="shared" si="2"/>
        <v>#NUM!</v>
      </c>
      <c r="E46" s="38">
        <f>'Dados de demanda e evaporação'!$D$7</f>
        <v>0.16119999999999998</v>
      </c>
      <c r="F46" s="24" t="e">
        <f t="shared" si="0"/>
        <v>#NUM!</v>
      </c>
      <c r="G46" s="24" t="e">
        <f t="shared" si="3"/>
        <v>#NUM!</v>
      </c>
      <c r="H46" s="24">
        <f>'Dados de demanda e evaporação'!$B$7</f>
        <v>0.6</v>
      </c>
      <c r="I46" s="24">
        <f t="shared" si="7"/>
        <v>1607039.9999999998</v>
      </c>
      <c r="J46" s="24" t="e">
        <f t="shared" si="4"/>
        <v>#NUM!</v>
      </c>
      <c r="K46" s="27" t="e">
        <f t="shared" si="5"/>
        <v>#NUM!</v>
      </c>
      <c r="L46" s="58" t="s">
        <v>46</v>
      </c>
      <c r="M46" s="59"/>
      <c r="N46" s="59"/>
      <c r="O46" s="59"/>
      <c r="P46" s="60"/>
    </row>
    <row r="47" spans="1:16" x14ac:dyDescent="0.25">
      <c r="A47" s="41">
        <v>45689</v>
      </c>
      <c r="B47" s="42">
        <v>28</v>
      </c>
      <c r="C47" s="43" t="e">
        <f t="shared" si="6"/>
        <v>#NUM!</v>
      </c>
      <c r="D47" s="43" t="e">
        <f t="shared" si="2"/>
        <v>#NUM!</v>
      </c>
      <c r="E47" s="44">
        <f>'Dados de demanda e evaporação'!$D$8</f>
        <v>0.14280000000000001</v>
      </c>
      <c r="F47" s="43" t="e">
        <f t="shared" si="0"/>
        <v>#NUM!</v>
      </c>
      <c r="G47" s="43" t="e">
        <f t="shared" si="3"/>
        <v>#NUM!</v>
      </c>
      <c r="H47" s="43">
        <f>'Dados de demanda e evaporação'!$B$7</f>
        <v>0.6</v>
      </c>
      <c r="I47" s="43">
        <f t="shared" si="7"/>
        <v>1451520</v>
      </c>
      <c r="J47" s="45" t="e">
        <f t="shared" si="4"/>
        <v>#NUM!</v>
      </c>
      <c r="K47" s="45" t="e">
        <f t="shared" si="5"/>
        <v>#NUM!</v>
      </c>
      <c r="L47" s="30"/>
      <c r="M47" s="30"/>
      <c r="N47" s="30"/>
      <c r="O47" s="30"/>
      <c r="P47" s="30"/>
    </row>
    <row r="48" spans="1:16" x14ac:dyDescent="0.25">
      <c r="A48" s="22">
        <v>45717</v>
      </c>
      <c r="B48" s="18">
        <v>31</v>
      </c>
      <c r="C48" s="24" t="e">
        <f t="shared" si="6"/>
        <v>#NUM!</v>
      </c>
      <c r="D48" s="24" t="e">
        <f t="shared" si="2"/>
        <v>#NUM!</v>
      </c>
      <c r="E48" s="38">
        <f>'Dados de demanda e evaporação'!$D$9</f>
        <v>0.13950000000000001</v>
      </c>
      <c r="F48" s="24" t="e">
        <f t="shared" si="0"/>
        <v>#NUM!</v>
      </c>
      <c r="G48" s="24" t="e">
        <f t="shared" si="3"/>
        <v>#NUM!</v>
      </c>
      <c r="H48" s="24">
        <f>'Dados de demanda e evaporação'!$B$7</f>
        <v>0.6</v>
      </c>
      <c r="I48" s="24">
        <f t="shared" si="7"/>
        <v>1607039.9999999998</v>
      </c>
      <c r="J48" s="24" t="e">
        <f t="shared" si="4"/>
        <v>#NUM!</v>
      </c>
      <c r="K48" s="27" t="e">
        <f t="shared" si="5"/>
        <v>#NUM!</v>
      </c>
    </row>
    <row r="49" spans="1:11" x14ac:dyDescent="0.25">
      <c r="A49" s="26">
        <v>45748</v>
      </c>
      <c r="B49" s="19">
        <v>30</v>
      </c>
      <c r="C49" s="25" t="e">
        <f t="shared" si="6"/>
        <v>#NUM!</v>
      </c>
      <c r="D49" s="25" t="e">
        <f t="shared" si="2"/>
        <v>#NUM!</v>
      </c>
      <c r="E49" s="39">
        <f>'Dados de demanda e evaporação'!$D$10</f>
        <v>0.114</v>
      </c>
      <c r="F49" s="25" t="e">
        <f t="shared" ref="F49:F66" si="8">E49*D49</f>
        <v>#NUM!</v>
      </c>
      <c r="G49" s="25" t="e">
        <f t="shared" si="3"/>
        <v>#NUM!</v>
      </c>
      <c r="H49" s="25">
        <f>'Dados de demanda e evaporação'!$B$7</f>
        <v>0.6</v>
      </c>
      <c r="I49" s="25">
        <f t="shared" si="7"/>
        <v>1555200</v>
      </c>
      <c r="J49" s="25" t="e">
        <f t="shared" si="4"/>
        <v>#NUM!</v>
      </c>
      <c r="K49" s="25" t="e">
        <f t="shared" si="5"/>
        <v>#NUM!</v>
      </c>
    </row>
    <row r="50" spans="1:11" x14ac:dyDescent="0.25">
      <c r="A50" s="22">
        <v>45778</v>
      </c>
      <c r="B50" s="18">
        <v>31</v>
      </c>
      <c r="C50" s="24" t="e">
        <f t="shared" si="6"/>
        <v>#NUM!</v>
      </c>
      <c r="D50" s="24" t="e">
        <f t="shared" si="2"/>
        <v>#NUM!</v>
      </c>
      <c r="E50" s="38">
        <f>'Dados de demanda e evaporação'!$D$11</f>
        <v>8.9900000000000008E-2</v>
      </c>
      <c r="F50" s="24" t="e">
        <f t="shared" si="8"/>
        <v>#NUM!</v>
      </c>
      <c r="G50" s="24" t="e">
        <f t="shared" si="3"/>
        <v>#NUM!</v>
      </c>
      <c r="H50" s="24">
        <f>'Dados de demanda e evaporação'!$B$7</f>
        <v>0.6</v>
      </c>
      <c r="I50" s="24">
        <f t="shared" si="7"/>
        <v>1607039.9999999998</v>
      </c>
      <c r="J50" s="24" t="e">
        <f t="shared" si="4"/>
        <v>#NUM!</v>
      </c>
      <c r="K50" s="27" t="e">
        <f t="shared" si="5"/>
        <v>#NUM!</v>
      </c>
    </row>
    <row r="51" spans="1:11" x14ac:dyDescent="0.25">
      <c r="A51" s="26">
        <v>45809</v>
      </c>
      <c r="B51" s="19">
        <v>30</v>
      </c>
      <c r="C51" s="25" t="e">
        <f t="shared" si="6"/>
        <v>#NUM!</v>
      </c>
      <c r="D51" s="25" t="e">
        <f t="shared" si="2"/>
        <v>#NUM!</v>
      </c>
      <c r="E51" s="39">
        <f>'Dados de demanda e evaporação'!$D$12</f>
        <v>7.4999999999999997E-2</v>
      </c>
      <c r="F51" s="25" t="e">
        <f t="shared" si="8"/>
        <v>#NUM!</v>
      </c>
      <c r="G51" s="25" t="e">
        <f t="shared" si="3"/>
        <v>#NUM!</v>
      </c>
      <c r="H51" s="25">
        <f>'Dados de demanda e evaporação'!$B$7</f>
        <v>0.6</v>
      </c>
      <c r="I51" s="25">
        <f t="shared" si="7"/>
        <v>1555200</v>
      </c>
      <c r="J51" s="25" t="e">
        <f t="shared" si="4"/>
        <v>#NUM!</v>
      </c>
      <c r="K51" s="25" t="e">
        <f t="shared" si="5"/>
        <v>#NUM!</v>
      </c>
    </row>
    <row r="52" spans="1:11" x14ac:dyDescent="0.25">
      <c r="A52" s="22">
        <v>45839</v>
      </c>
      <c r="B52" s="18">
        <v>31</v>
      </c>
      <c r="C52" s="24" t="e">
        <f t="shared" si="6"/>
        <v>#NUM!</v>
      </c>
      <c r="D52" s="24" t="e">
        <f t="shared" si="2"/>
        <v>#NUM!</v>
      </c>
      <c r="E52" s="38">
        <f>'Dados de demanda e evaporação'!$D$13</f>
        <v>8.0599999999999991E-2</v>
      </c>
      <c r="F52" s="24" t="e">
        <f t="shared" si="8"/>
        <v>#NUM!</v>
      </c>
      <c r="G52" s="24" t="e">
        <f t="shared" si="3"/>
        <v>#NUM!</v>
      </c>
      <c r="H52" s="24">
        <f>'Dados de demanda e evaporação'!$B$7</f>
        <v>0.6</v>
      </c>
      <c r="I52" s="24">
        <f t="shared" si="7"/>
        <v>1607039.9999999998</v>
      </c>
      <c r="J52" s="24" t="e">
        <f t="shared" si="4"/>
        <v>#NUM!</v>
      </c>
      <c r="K52" s="27" t="e">
        <f t="shared" si="5"/>
        <v>#NUM!</v>
      </c>
    </row>
    <row r="53" spans="1:11" x14ac:dyDescent="0.25">
      <c r="A53" s="26">
        <v>45870</v>
      </c>
      <c r="B53" s="19">
        <v>31</v>
      </c>
      <c r="C53" s="25" t="e">
        <f t="shared" si="6"/>
        <v>#NUM!</v>
      </c>
      <c r="D53" s="25" t="e">
        <f t="shared" si="2"/>
        <v>#NUM!</v>
      </c>
      <c r="E53" s="39">
        <f>'Dados de demanda e evaporação'!$D$14</f>
        <v>9.9199999999999997E-2</v>
      </c>
      <c r="F53" s="25" t="e">
        <f t="shared" si="8"/>
        <v>#NUM!</v>
      </c>
      <c r="G53" s="25" t="e">
        <f t="shared" si="3"/>
        <v>#NUM!</v>
      </c>
      <c r="H53" s="25">
        <f>'Dados de demanda e evaporação'!$B$7</f>
        <v>0.6</v>
      </c>
      <c r="I53" s="25">
        <f t="shared" si="7"/>
        <v>1607039.9999999998</v>
      </c>
      <c r="J53" s="25" t="e">
        <f t="shared" si="4"/>
        <v>#NUM!</v>
      </c>
      <c r="K53" s="25" t="e">
        <f t="shared" si="5"/>
        <v>#NUM!</v>
      </c>
    </row>
    <row r="54" spans="1:11" x14ac:dyDescent="0.25">
      <c r="A54" s="22">
        <v>45901</v>
      </c>
      <c r="B54" s="18">
        <v>30</v>
      </c>
      <c r="C54" s="24" t="e">
        <f t="shared" si="6"/>
        <v>#NUM!</v>
      </c>
      <c r="D54" s="24" t="e">
        <f t="shared" si="2"/>
        <v>#NUM!</v>
      </c>
      <c r="E54" s="38">
        <f>'Dados de demanda e evaporação'!$D$15</f>
        <v>0.126</v>
      </c>
      <c r="F54" s="24" t="e">
        <f t="shared" si="8"/>
        <v>#NUM!</v>
      </c>
      <c r="G54" s="24" t="e">
        <f t="shared" si="3"/>
        <v>#NUM!</v>
      </c>
      <c r="H54" s="24">
        <f>'Dados de demanda e evaporação'!$B$7</f>
        <v>0.6</v>
      </c>
      <c r="I54" s="24">
        <f t="shared" si="7"/>
        <v>1555200</v>
      </c>
      <c r="J54" s="24" t="e">
        <f t="shared" si="4"/>
        <v>#NUM!</v>
      </c>
      <c r="K54" s="27" t="e">
        <f t="shared" si="5"/>
        <v>#NUM!</v>
      </c>
    </row>
    <row r="55" spans="1:11" x14ac:dyDescent="0.25">
      <c r="A55" s="26">
        <v>45931</v>
      </c>
      <c r="B55" s="19">
        <v>31</v>
      </c>
      <c r="C55" s="25" t="e">
        <f t="shared" si="6"/>
        <v>#NUM!</v>
      </c>
      <c r="D55" s="25" t="e">
        <f t="shared" si="2"/>
        <v>#NUM!</v>
      </c>
      <c r="E55" s="39">
        <f>'Dados de demanda e evaporação'!$D$16</f>
        <v>0.15190000000000001</v>
      </c>
      <c r="F55" s="25" t="e">
        <f t="shared" si="8"/>
        <v>#NUM!</v>
      </c>
      <c r="G55" s="25" t="e">
        <f t="shared" si="3"/>
        <v>#NUM!</v>
      </c>
      <c r="H55" s="25">
        <f>'Dados de demanda e evaporação'!$B$7</f>
        <v>0.6</v>
      </c>
      <c r="I55" s="25">
        <f t="shared" si="7"/>
        <v>1607039.9999999998</v>
      </c>
      <c r="J55" s="25" t="e">
        <f t="shared" si="4"/>
        <v>#NUM!</v>
      </c>
      <c r="K55" s="25" t="e">
        <f t="shared" si="5"/>
        <v>#NUM!</v>
      </c>
    </row>
    <row r="56" spans="1:11" x14ac:dyDescent="0.25">
      <c r="A56" s="22">
        <v>45962</v>
      </c>
      <c r="B56" s="18">
        <v>30</v>
      </c>
      <c r="C56" s="24" t="e">
        <f t="shared" si="6"/>
        <v>#NUM!</v>
      </c>
      <c r="D56" s="24" t="e">
        <f t="shared" si="2"/>
        <v>#NUM!</v>
      </c>
      <c r="E56" s="38">
        <f>'Dados de demanda e evaporação'!$D$17</f>
        <v>0.156</v>
      </c>
      <c r="F56" s="24" t="e">
        <f t="shared" si="8"/>
        <v>#NUM!</v>
      </c>
      <c r="G56" s="24" t="e">
        <f t="shared" si="3"/>
        <v>#NUM!</v>
      </c>
      <c r="H56" s="24">
        <f>'Dados de demanda e evaporação'!$B$7</f>
        <v>0.6</v>
      </c>
      <c r="I56" s="24">
        <f t="shared" si="7"/>
        <v>1555200</v>
      </c>
      <c r="J56" s="24" t="e">
        <f t="shared" si="4"/>
        <v>#NUM!</v>
      </c>
      <c r="K56" s="27" t="e">
        <f t="shared" si="5"/>
        <v>#NUM!</v>
      </c>
    </row>
    <row r="57" spans="1:11" x14ac:dyDescent="0.25">
      <c r="A57" s="26">
        <v>45992</v>
      </c>
      <c r="B57" s="19">
        <v>31</v>
      </c>
      <c r="C57" s="25" t="e">
        <f t="shared" si="6"/>
        <v>#NUM!</v>
      </c>
      <c r="D57" s="25" t="e">
        <f t="shared" si="2"/>
        <v>#NUM!</v>
      </c>
      <c r="E57" s="39">
        <f>'Dados de demanda e evaporação'!$D$18</f>
        <v>0.16119999999999998</v>
      </c>
      <c r="F57" s="25" t="e">
        <f t="shared" si="8"/>
        <v>#NUM!</v>
      </c>
      <c r="G57" s="25" t="e">
        <f t="shared" si="3"/>
        <v>#NUM!</v>
      </c>
      <c r="H57" s="25">
        <f>'Dados de demanda e evaporação'!$B$7</f>
        <v>0.6</v>
      </c>
      <c r="I57" s="25">
        <f t="shared" si="7"/>
        <v>1607039.9999999998</v>
      </c>
      <c r="J57" s="25" t="e">
        <f t="shared" si="4"/>
        <v>#NUM!</v>
      </c>
      <c r="K57" s="25" t="e">
        <f t="shared" si="5"/>
        <v>#NUM!</v>
      </c>
    </row>
    <row r="58" spans="1:11" x14ac:dyDescent="0.25">
      <c r="A58" s="22">
        <v>46023</v>
      </c>
      <c r="B58" s="18">
        <v>31</v>
      </c>
      <c r="C58" s="24" t="e">
        <f t="shared" si="6"/>
        <v>#NUM!</v>
      </c>
      <c r="D58" s="24" t="e">
        <f t="shared" si="2"/>
        <v>#NUM!</v>
      </c>
      <c r="E58" s="38">
        <f>'Dados de demanda e evaporação'!$D$7</f>
        <v>0.16119999999999998</v>
      </c>
      <c r="F58" s="24" t="e">
        <f t="shared" si="8"/>
        <v>#NUM!</v>
      </c>
      <c r="G58" s="24" t="e">
        <f t="shared" si="3"/>
        <v>#NUM!</v>
      </c>
      <c r="H58" s="24">
        <f>'Dados de demanda e evaporação'!$B$7</f>
        <v>0.6</v>
      </c>
      <c r="I58" s="24">
        <f t="shared" si="7"/>
        <v>1607039.9999999998</v>
      </c>
      <c r="J58" s="24" t="e">
        <f t="shared" si="4"/>
        <v>#NUM!</v>
      </c>
      <c r="K58" s="27" t="e">
        <f t="shared" si="5"/>
        <v>#NUM!</v>
      </c>
    </row>
    <row r="59" spans="1:11" x14ac:dyDescent="0.25">
      <c r="A59" s="26">
        <v>46054</v>
      </c>
      <c r="B59" s="19">
        <v>28</v>
      </c>
      <c r="C59" s="25" t="e">
        <f t="shared" si="6"/>
        <v>#NUM!</v>
      </c>
      <c r="D59" s="25" t="e">
        <f t="shared" si="2"/>
        <v>#NUM!</v>
      </c>
      <c r="E59" s="39">
        <f>'Dados de demanda e evaporação'!$D$8</f>
        <v>0.14280000000000001</v>
      </c>
      <c r="F59" s="25" t="e">
        <f t="shared" si="8"/>
        <v>#NUM!</v>
      </c>
      <c r="G59" s="25" t="e">
        <f t="shared" si="3"/>
        <v>#NUM!</v>
      </c>
      <c r="H59" s="25">
        <f>'Dados de demanda e evaporação'!$B$7</f>
        <v>0.6</v>
      </c>
      <c r="I59" s="25">
        <f t="shared" si="7"/>
        <v>1451520</v>
      </c>
      <c r="J59" s="25" t="e">
        <f t="shared" si="4"/>
        <v>#NUM!</v>
      </c>
      <c r="K59" s="25" t="e">
        <f t="shared" si="5"/>
        <v>#NUM!</v>
      </c>
    </row>
    <row r="60" spans="1:11" x14ac:dyDescent="0.25">
      <c r="A60" s="22">
        <v>46082</v>
      </c>
      <c r="B60" s="18">
        <v>31</v>
      </c>
      <c r="C60" s="24" t="e">
        <f t="shared" si="6"/>
        <v>#NUM!</v>
      </c>
      <c r="D60" s="24" t="e">
        <f t="shared" si="2"/>
        <v>#NUM!</v>
      </c>
      <c r="E60" s="38">
        <f>'Dados de demanda e evaporação'!$D$9</f>
        <v>0.13950000000000001</v>
      </c>
      <c r="F60" s="24" t="e">
        <f t="shared" si="8"/>
        <v>#NUM!</v>
      </c>
      <c r="G60" s="24" t="e">
        <f t="shared" si="3"/>
        <v>#NUM!</v>
      </c>
      <c r="H60" s="24">
        <f>'Dados de demanda e evaporação'!$B$7</f>
        <v>0.6</v>
      </c>
      <c r="I60" s="24">
        <f t="shared" si="7"/>
        <v>1607039.9999999998</v>
      </c>
      <c r="J60" s="24" t="e">
        <f t="shared" si="4"/>
        <v>#NUM!</v>
      </c>
      <c r="K60" s="27" t="e">
        <f t="shared" si="5"/>
        <v>#NUM!</v>
      </c>
    </row>
    <row r="61" spans="1:11" x14ac:dyDescent="0.25">
      <c r="A61" s="26">
        <v>46113</v>
      </c>
      <c r="B61" s="19">
        <v>30</v>
      </c>
      <c r="C61" s="25" t="e">
        <f t="shared" si="6"/>
        <v>#NUM!</v>
      </c>
      <c r="D61" s="25" t="e">
        <f t="shared" si="2"/>
        <v>#NUM!</v>
      </c>
      <c r="E61" s="39">
        <f>'Dados de demanda e evaporação'!$D$10</f>
        <v>0.114</v>
      </c>
      <c r="F61" s="25" t="e">
        <f t="shared" si="8"/>
        <v>#NUM!</v>
      </c>
      <c r="G61" s="25" t="e">
        <f t="shared" si="3"/>
        <v>#NUM!</v>
      </c>
      <c r="H61" s="25">
        <f>'Dados de demanda e evaporação'!$B$7</f>
        <v>0.6</v>
      </c>
      <c r="I61" s="25">
        <f t="shared" si="7"/>
        <v>1555200</v>
      </c>
      <c r="J61" s="25" t="e">
        <f t="shared" si="4"/>
        <v>#NUM!</v>
      </c>
      <c r="K61" s="25" t="e">
        <f t="shared" si="5"/>
        <v>#NUM!</v>
      </c>
    </row>
    <row r="62" spans="1:11" x14ac:dyDescent="0.25">
      <c r="A62" s="22">
        <v>46143</v>
      </c>
      <c r="B62" s="18">
        <v>31</v>
      </c>
      <c r="C62" s="24" t="e">
        <f t="shared" si="6"/>
        <v>#NUM!</v>
      </c>
      <c r="D62" s="24" t="e">
        <f t="shared" si="2"/>
        <v>#NUM!</v>
      </c>
      <c r="E62" s="38">
        <f>'Dados de demanda e evaporação'!$D$11</f>
        <v>8.9900000000000008E-2</v>
      </c>
      <c r="F62" s="24" t="e">
        <f t="shared" si="8"/>
        <v>#NUM!</v>
      </c>
      <c r="G62" s="24" t="e">
        <f t="shared" si="3"/>
        <v>#NUM!</v>
      </c>
      <c r="H62" s="24">
        <f>'Dados de demanda e evaporação'!$B$7</f>
        <v>0.6</v>
      </c>
      <c r="I62" s="24">
        <f t="shared" si="7"/>
        <v>1607039.9999999998</v>
      </c>
      <c r="J62" s="24" t="e">
        <f t="shared" si="4"/>
        <v>#NUM!</v>
      </c>
      <c r="K62" s="27" t="e">
        <f t="shared" si="5"/>
        <v>#NUM!</v>
      </c>
    </row>
    <row r="63" spans="1:11" x14ac:dyDescent="0.25">
      <c r="A63" s="26">
        <v>46174</v>
      </c>
      <c r="B63" s="19">
        <v>30</v>
      </c>
      <c r="C63" s="25" t="e">
        <f t="shared" si="6"/>
        <v>#NUM!</v>
      </c>
      <c r="D63" s="25" t="e">
        <f t="shared" si="2"/>
        <v>#NUM!</v>
      </c>
      <c r="E63" s="39">
        <f>'Dados de demanda e evaporação'!$D$12</f>
        <v>7.4999999999999997E-2</v>
      </c>
      <c r="F63" s="25" t="e">
        <f t="shared" si="8"/>
        <v>#NUM!</v>
      </c>
      <c r="G63" s="25" t="e">
        <f t="shared" si="3"/>
        <v>#NUM!</v>
      </c>
      <c r="H63" s="25">
        <f>'Dados de demanda e evaporação'!$B$7</f>
        <v>0.6</v>
      </c>
      <c r="I63" s="25">
        <f t="shared" si="7"/>
        <v>1555200</v>
      </c>
      <c r="J63" s="25" t="e">
        <f t="shared" ref="J63:J64" si="9">G63-I63</f>
        <v>#NUM!</v>
      </c>
      <c r="K63" s="25" t="e">
        <f t="shared" ref="K63:K64" si="10">IF(J63&lt;$D$5,J63,$D$5)</f>
        <v>#NUM!</v>
      </c>
    </row>
    <row r="64" spans="1:11" s="30" customFormat="1" x14ac:dyDescent="0.25">
      <c r="A64" s="22">
        <v>46204</v>
      </c>
      <c r="B64" s="18">
        <v>31</v>
      </c>
      <c r="C64" s="24" t="e">
        <f t="shared" si="6"/>
        <v>#NUM!</v>
      </c>
      <c r="D64" s="24" t="e">
        <f t="shared" si="2"/>
        <v>#NUM!</v>
      </c>
      <c r="E64" s="38">
        <f>'Dados de demanda e evaporação'!$D$13</f>
        <v>8.0599999999999991E-2</v>
      </c>
      <c r="F64" s="27" t="e">
        <f t="shared" si="8"/>
        <v>#NUM!</v>
      </c>
      <c r="G64" s="24" t="e">
        <f t="shared" si="3"/>
        <v>#NUM!</v>
      </c>
      <c r="H64" s="27">
        <f>'Dados de demanda e evaporação'!$B$7</f>
        <v>0.6</v>
      </c>
      <c r="I64" s="24">
        <f t="shared" si="7"/>
        <v>1607039.9999999998</v>
      </c>
      <c r="J64" s="24" t="e">
        <f t="shared" si="9"/>
        <v>#NUM!</v>
      </c>
      <c r="K64" s="27" t="e">
        <f t="shared" si="10"/>
        <v>#NUM!</v>
      </c>
    </row>
    <row r="65" spans="1:11" x14ac:dyDescent="0.25">
      <c r="A65" s="26">
        <v>46235</v>
      </c>
      <c r="B65" s="19">
        <v>31</v>
      </c>
      <c r="C65" s="25" t="e">
        <f t="shared" si="6"/>
        <v>#NUM!</v>
      </c>
      <c r="D65" s="25" t="e">
        <f t="shared" si="2"/>
        <v>#NUM!</v>
      </c>
      <c r="E65" s="39">
        <f>'Dados de demanda e evaporação'!$D$14</f>
        <v>9.9199999999999997E-2</v>
      </c>
      <c r="F65" s="25" t="e">
        <f t="shared" si="8"/>
        <v>#NUM!</v>
      </c>
      <c r="G65" s="25" t="e">
        <f t="shared" si="3"/>
        <v>#NUM!</v>
      </c>
      <c r="H65" s="25">
        <f>'Dados de demanda e evaporação'!$B$7</f>
        <v>0.6</v>
      </c>
      <c r="I65" s="25">
        <f t="shared" si="7"/>
        <v>1607039.9999999998</v>
      </c>
      <c r="J65" s="25" t="e">
        <f t="shared" si="4"/>
        <v>#NUM!</v>
      </c>
      <c r="K65" s="25" t="e">
        <f t="shared" si="5"/>
        <v>#NUM!</v>
      </c>
    </row>
    <row r="66" spans="1:11" x14ac:dyDescent="0.25">
      <c r="A66" s="22">
        <v>46266</v>
      </c>
      <c r="B66" s="18">
        <v>30</v>
      </c>
      <c r="C66" s="24" t="e">
        <f t="shared" si="6"/>
        <v>#NUM!</v>
      </c>
      <c r="D66" s="24" t="e">
        <f t="shared" si="2"/>
        <v>#NUM!</v>
      </c>
      <c r="E66" s="38">
        <f>'Dados de demanda e evaporação'!$D$15</f>
        <v>0.126</v>
      </c>
      <c r="F66" s="27" t="e">
        <f t="shared" si="8"/>
        <v>#NUM!</v>
      </c>
      <c r="G66" s="24" t="e">
        <f t="shared" si="3"/>
        <v>#NUM!</v>
      </c>
      <c r="H66" s="27">
        <f>'Dados de demanda e evaporação'!$B$7</f>
        <v>0.6</v>
      </c>
      <c r="I66" s="24">
        <f t="shared" si="7"/>
        <v>1555200</v>
      </c>
      <c r="J66" s="24" t="e">
        <f t="shared" si="4"/>
        <v>#NUM!</v>
      </c>
      <c r="K66" s="27" t="e">
        <f t="shared" si="5"/>
        <v>#NUM!</v>
      </c>
    </row>
    <row r="67" spans="1:11" x14ac:dyDescent="0.25">
      <c r="A67" s="26">
        <v>46296</v>
      </c>
      <c r="B67" s="19">
        <v>31</v>
      </c>
      <c r="C67" s="25"/>
      <c r="D67" s="25"/>
      <c r="E67" s="39">
        <f>'Dados de demanda e evaporação'!$D$16</f>
        <v>0.15190000000000001</v>
      </c>
      <c r="F67" s="25"/>
      <c r="G67" s="25"/>
      <c r="H67" s="25"/>
      <c r="I67" s="25"/>
      <c r="J67" s="25"/>
      <c r="K67" s="25"/>
    </row>
    <row r="68" spans="1:11" x14ac:dyDescent="0.25">
      <c r="A68" s="22">
        <v>46327</v>
      </c>
      <c r="B68" s="18">
        <v>30</v>
      </c>
      <c r="C68" s="24"/>
      <c r="D68" s="24"/>
      <c r="E68" s="38">
        <f>'Dados de demanda e evaporação'!$D$17</f>
        <v>0.156</v>
      </c>
      <c r="F68" s="24"/>
      <c r="G68" s="24"/>
      <c r="H68" s="24"/>
      <c r="I68" s="24"/>
      <c r="J68" s="24"/>
      <c r="K68" s="27"/>
    </row>
    <row r="69" spans="1:11" x14ac:dyDescent="0.25">
      <c r="A69" s="26">
        <v>46357</v>
      </c>
      <c r="B69" s="19">
        <v>31</v>
      </c>
      <c r="C69" s="25"/>
      <c r="D69" s="25"/>
      <c r="E69" s="39">
        <f>'Dados de demanda e evaporação'!$D$18</f>
        <v>0.16119999999999998</v>
      </c>
      <c r="F69" s="25"/>
      <c r="G69" s="25"/>
      <c r="H69" s="25"/>
      <c r="I69" s="25"/>
      <c r="J69" s="25"/>
      <c r="K69" s="25"/>
    </row>
    <row r="70" spans="1:11" x14ac:dyDescent="0.25">
      <c r="A70" s="22">
        <v>46388</v>
      </c>
      <c r="B70" s="18"/>
      <c r="C70" s="24"/>
      <c r="D70" s="24"/>
      <c r="E70" s="38">
        <f>'Dados de demanda e evaporação'!$D$7</f>
        <v>0.16119999999999998</v>
      </c>
      <c r="F70" s="24"/>
      <c r="G70" s="24"/>
      <c r="H70" s="24"/>
      <c r="I70" s="24"/>
      <c r="J70" s="24"/>
      <c r="K70" s="27"/>
    </row>
    <row r="71" spans="1:11" x14ac:dyDescent="0.25">
      <c r="A71" s="26">
        <v>46419</v>
      </c>
      <c r="B71" s="19"/>
      <c r="C71" s="25"/>
      <c r="D71" s="25"/>
      <c r="E71" s="39">
        <f>'Dados de demanda e evaporação'!$D$8</f>
        <v>0.14280000000000001</v>
      </c>
      <c r="F71" s="25"/>
      <c r="G71" s="25"/>
      <c r="H71" s="25"/>
      <c r="I71" s="25"/>
      <c r="J71" s="25"/>
      <c r="K71" s="25"/>
    </row>
    <row r="72" spans="1:11" x14ac:dyDescent="0.25">
      <c r="A72" s="22">
        <v>46447</v>
      </c>
      <c r="B72" s="18"/>
      <c r="C72" s="24"/>
      <c r="D72" s="24"/>
      <c r="E72" s="38">
        <f>'Dados de demanda e evaporação'!$D$9</f>
        <v>0.13950000000000001</v>
      </c>
      <c r="F72" s="24"/>
      <c r="G72" s="24"/>
      <c r="H72" s="24"/>
      <c r="I72" s="24"/>
      <c r="J72" s="24"/>
      <c r="K72" s="27"/>
    </row>
    <row r="73" spans="1:11" x14ac:dyDescent="0.25">
      <c r="A73" s="26">
        <v>46478</v>
      </c>
      <c r="B73" s="19"/>
      <c r="C73" s="25"/>
      <c r="D73" s="25"/>
      <c r="E73" s="39">
        <f>'Dados de demanda e evaporação'!$D$10</f>
        <v>0.114</v>
      </c>
      <c r="F73" s="25"/>
      <c r="G73" s="25"/>
      <c r="H73" s="25"/>
      <c r="I73" s="25"/>
      <c r="J73" s="25"/>
      <c r="K73" s="25"/>
    </row>
    <row r="74" spans="1:11" x14ac:dyDescent="0.25">
      <c r="A74" s="22">
        <v>46508</v>
      </c>
      <c r="B74" s="18"/>
      <c r="C74" s="24"/>
      <c r="D74" s="24"/>
      <c r="E74" s="38">
        <f>'Dados de demanda e evaporação'!$D$11</f>
        <v>8.9900000000000008E-2</v>
      </c>
      <c r="F74" s="24"/>
      <c r="G74" s="24"/>
      <c r="H74" s="24"/>
      <c r="I74" s="24"/>
      <c r="J74" s="24"/>
      <c r="K74" s="27"/>
    </row>
    <row r="75" spans="1:11" x14ac:dyDescent="0.25">
      <c r="A75" s="26">
        <v>46539</v>
      </c>
      <c r="B75" s="19"/>
      <c r="C75" s="25"/>
      <c r="D75" s="25"/>
      <c r="E75" s="39">
        <f>'Dados de demanda e evaporação'!$D$12</f>
        <v>7.4999999999999997E-2</v>
      </c>
      <c r="F75" s="25"/>
      <c r="G75" s="25"/>
      <c r="H75" s="25"/>
      <c r="I75" s="25"/>
      <c r="J75" s="25"/>
      <c r="K75" s="25"/>
    </row>
    <row r="76" spans="1:11" x14ac:dyDescent="0.25">
      <c r="A76" s="22">
        <v>46569</v>
      </c>
      <c r="B76" s="18"/>
      <c r="C76" s="24"/>
      <c r="D76" s="24"/>
      <c r="E76" s="38">
        <f>'Dados de demanda e evaporação'!$D$13</f>
        <v>8.0599999999999991E-2</v>
      </c>
      <c r="F76" s="24"/>
      <c r="G76" s="24"/>
      <c r="H76" s="24"/>
      <c r="I76" s="24"/>
      <c r="J76" s="24"/>
      <c r="K76" s="27"/>
    </row>
    <row r="77" spans="1:11" x14ac:dyDescent="0.25">
      <c r="A77" s="26">
        <v>46600</v>
      </c>
      <c r="B77" s="19"/>
      <c r="C77" s="25"/>
      <c r="D77" s="25"/>
      <c r="E77" s="39">
        <f>'Dados de demanda e evaporação'!$D$14</f>
        <v>9.9199999999999997E-2</v>
      </c>
      <c r="F77" s="25"/>
      <c r="G77" s="25"/>
      <c r="H77" s="25"/>
      <c r="I77" s="25"/>
      <c r="J77" s="25"/>
      <c r="K77" s="25"/>
    </row>
    <row r="78" spans="1:11" x14ac:dyDescent="0.25">
      <c r="A78" s="22">
        <v>46631</v>
      </c>
      <c r="B78" s="18"/>
      <c r="C78" s="24"/>
      <c r="D78" s="24"/>
      <c r="E78" s="38">
        <f>'Dados de demanda e evaporação'!$D$15</f>
        <v>0.126</v>
      </c>
      <c r="F78" s="24"/>
      <c r="G78" s="24"/>
      <c r="H78" s="24"/>
      <c r="I78" s="24"/>
      <c r="J78" s="24"/>
      <c r="K78" s="27"/>
    </row>
    <row r="79" spans="1:11" x14ac:dyDescent="0.25">
      <c r="A79" s="26">
        <v>46661</v>
      </c>
      <c r="B79" s="19"/>
      <c r="C79" s="25"/>
      <c r="D79" s="25"/>
      <c r="E79" s="39">
        <f>'Dados de demanda e evaporação'!$D$16</f>
        <v>0.15190000000000001</v>
      </c>
      <c r="F79" s="25"/>
      <c r="G79" s="25"/>
      <c r="H79" s="25"/>
      <c r="I79" s="25"/>
      <c r="J79" s="25"/>
      <c r="K79" s="25"/>
    </row>
    <row r="80" spans="1:11" x14ac:dyDescent="0.25">
      <c r="A80" s="22">
        <v>46692</v>
      </c>
      <c r="B80" s="18"/>
      <c r="C80" s="24"/>
      <c r="D80" s="24"/>
      <c r="E80" s="38">
        <f>'Dados de demanda e evaporação'!$D$17</f>
        <v>0.156</v>
      </c>
      <c r="F80" s="24"/>
      <c r="G80" s="24"/>
      <c r="H80" s="24"/>
      <c r="I80" s="24"/>
      <c r="J80" s="24"/>
      <c r="K80" s="27"/>
    </row>
    <row r="81" spans="1:11" x14ac:dyDescent="0.25">
      <c r="A81" s="26">
        <v>46722</v>
      </c>
      <c r="B81" s="19"/>
      <c r="C81" s="25"/>
      <c r="D81" s="25"/>
      <c r="E81" s="39">
        <f>'Dados de demanda e evaporação'!$D$18</f>
        <v>0.16119999999999998</v>
      </c>
      <c r="F81" s="25"/>
      <c r="G81" s="25"/>
      <c r="H81" s="25"/>
      <c r="I81" s="25"/>
      <c r="J81" s="25"/>
      <c r="K81" s="25"/>
    </row>
    <row r="82" spans="1:11" x14ac:dyDescent="0.25">
      <c r="A82" s="22">
        <v>46753</v>
      </c>
      <c r="B82" s="18"/>
      <c r="C82" s="24"/>
      <c r="D82" s="24"/>
      <c r="E82" s="38">
        <f>'Dados de demanda e evaporação'!$D$7</f>
        <v>0.16119999999999998</v>
      </c>
      <c r="F82" s="24"/>
      <c r="G82" s="24"/>
      <c r="H82" s="24"/>
      <c r="I82" s="24"/>
      <c r="J82" s="24"/>
      <c r="K82" s="27"/>
    </row>
    <row r="83" spans="1:11" x14ac:dyDescent="0.25">
      <c r="A83" s="26">
        <v>46784</v>
      </c>
      <c r="B83" s="19"/>
      <c r="C83" s="25"/>
      <c r="D83" s="25"/>
      <c r="E83" s="39">
        <f>'Dados de demanda e evaporação'!$D$8</f>
        <v>0.14280000000000001</v>
      </c>
      <c r="F83" s="25"/>
      <c r="G83" s="25"/>
      <c r="H83" s="25"/>
      <c r="I83" s="25"/>
      <c r="J83" s="25"/>
      <c r="K83" s="25"/>
    </row>
    <row r="84" spans="1:11" x14ac:dyDescent="0.25">
      <c r="A84" s="22">
        <v>46813</v>
      </c>
      <c r="B84" s="18"/>
      <c r="C84" s="24"/>
      <c r="D84" s="24"/>
      <c r="E84" s="38">
        <f>'Dados de demanda e evaporação'!$D$9</f>
        <v>0.13950000000000001</v>
      </c>
      <c r="F84" s="24"/>
      <c r="G84" s="24"/>
      <c r="H84" s="24"/>
      <c r="I84" s="24"/>
      <c r="J84" s="24"/>
      <c r="K84" s="27"/>
    </row>
    <row r="85" spans="1:11" x14ac:dyDescent="0.25">
      <c r="A85" s="26">
        <v>46844</v>
      </c>
      <c r="B85" s="19"/>
      <c r="C85" s="25"/>
      <c r="D85" s="25"/>
      <c r="E85" s="39">
        <f>'Dados de demanda e evaporação'!$D$10</f>
        <v>0.114</v>
      </c>
      <c r="F85" s="25"/>
      <c r="G85" s="25"/>
      <c r="H85" s="25"/>
      <c r="I85" s="25"/>
      <c r="J85" s="25"/>
      <c r="K85" s="25"/>
    </row>
    <row r="86" spans="1:11" x14ac:dyDescent="0.25">
      <c r="A86" s="22">
        <v>46874</v>
      </c>
      <c r="B86" s="18"/>
      <c r="C86" s="24"/>
      <c r="D86" s="24"/>
      <c r="E86" s="38">
        <f>'Dados de demanda e evaporação'!$D$11</f>
        <v>8.9900000000000008E-2</v>
      </c>
      <c r="F86" s="24"/>
      <c r="G86" s="24"/>
      <c r="H86" s="24"/>
      <c r="I86" s="24"/>
      <c r="J86" s="24"/>
      <c r="K86" s="27"/>
    </row>
    <row r="87" spans="1:11" x14ac:dyDescent="0.25">
      <c r="A87" s="26">
        <v>46905</v>
      </c>
      <c r="B87" s="19"/>
      <c r="C87" s="25"/>
      <c r="D87" s="25"/>
      <c r="E87" s="39">
        <f>'Dados de demanda e evaporação'!$D$12</f>
        <v>7.4999999999999997E-2</v>
      </c>
      <c r="F87" s="25"/>
      <c r="G87" s="25"/>
      <c r="H87" s="25"/>
      <c r="I87" s="25"/>
      <c r="J87" s="25"/>
      <c r="K87" s="25"/>
    </row>
    <row r="88" spans="1:11" x14ac:dyDescent="0.25">
      <c r="A88" s="22">
        <v>46935</v>
      </c>
      <c r="B88" s="18"/>
      <c r="C88" s="24"/>
      <c r="D88" s="24"/>
      <c r="E88" s="38">
        <f>'Dados de demanda e evaporação'!$D$13</f>
        <v>8.0599999999999991E-2</v>
      </c>
      <c r="F88" s="24"/>
      <c r="G88" s="24"/>
      <c r="H88" s="24"/>
      <c r="I88" s="24"/>
      <c r="J88" s="24"/>
      <c r="K88" s="27"/>
    </row>
    <row r="89" spans="1:11" x14ac:dyDescent="0.25">
      <c r="A89" s="26">
        <v>46966</v>
      </c>
      <c r="B89" s="19"/>
      <c r="C89" s="25"/>
      <c r="D89" s="25"/>
      <c r="E89" s="39">
        <f>'Dados de demanda e evaporação'!$D$14</f>
        <v>9.9199999999999997E-2</v>
      </c>
      <c r="F89" s="25"/>
      <c r="G89" s="25"/>
      <c r="H89" s="25"/>
      <c r="I89" s="25"/>
      <c r="J89" s="25"/>
      <c r="K89" s="25"/>
    </row>
    <row r="90" spans="1:11" x14ac:dyDescent="0.25">
      <c r="A90" s="22">
        <v>46997</v>
      </c>
      <c r="B90" s="18"/>
      <c r="C90" s="24"/>
      <c r="D90" s="24"/>
      <c r="E90" s="38">
        <f>'Dados de demanda e evaporação'!$D$15</f>
        <v>0.126</v>
      </c>
      <c r="F90" s="24"/>
      <c r="G90" s="24"/>
      <c r="H90" s="24"/>
      <c r="I90" s="24"/>
      <c r="J90" s="24"/>
      <c r="K90" s="27"/>
    </row>
    <row r="91" spans="1:11" x14ac:dyDescent="0.25">
      <c r="A91" s="26">
        <v>47027</v>
      </c>
      <c r="B91" s="19"/>
      <c r="C91" s="25"/>
      <c r="D91" s="25"/>
      <c r="E91" s="39">
        <f>'Dados de demanda e evaporação'!$D$16</f>
        <v>0.15190000000000001</v>
      </c>
      <c r="F91" s="25"/>
      <c r="G91" s="25"/>
      <c r="H91" s="25"/>
      <c r="I91" s="25"/>
      <c r="J91" s="25"/>
      <c r="K91" s="25"/>
    </row>
    <row r="92" spans="1:11" x14ac:dyDescent="0.25">
      <c r="A92" s="22">
        <v>47058</v>
      </c>
      <c r="B92" s="18"/>
      <c r="C92" s="24"/>
      <c r="D92" s="24"/>
      <c r="E92" s="38">
        <f>'Dados de demanda e evaporação'!$D$17</f>
        <v>0.156</v>
      </c>
      <c r="F92" s="24"/>
      <c r="G92" s="24"/>
      <c r="H92" s="24"/>
      <c r="I92" s="24"/>
      <c r="J92" s="24"/>
      <c r="K92" s="27"/>
    </row>
    <row r="93" spans="1:11" x14ac:dyDescent="0.25">
      <c r="A93" s="26">
        <v>47088</v>
      </c>
      <c r="B93" s="19"/>
      <c r="C93" s="25"/>
      <c r="D93" s="25"/>
      <c r="E93" s="39">
        <f>'Dados de demanda e evaporação'!$D$18</f>
        <v>0.16119999999999998</v>
      </c>
      <c r="F93" s="25"/>
      <c r="G93" s="25"/>
      <c r="H93" s="25"/>
      <c r="I93" s="25"/>
      <c r="J93" s="25"/>
      <c r="K93" s="25"/>
    </row>
    <row r="94" spans="1:11" x14ac:dyDescent="0.25">
      <c r="A94" s="22">
        <v>47119</v>
      </c>
      <c r="B94" s="18"/>
      <c r="C94" s="24"/>
      <c r="D94" s="24"/>
      <c r="E94" s="24"/>
      <c r="F94" s="24"/>
      <c r="G94" s="24"/>
      <c r="H94" s="24"/>
      <c r="I94" s="24"/>
      <c r="J94" s="24"/>
      <c r="K94" s="27"/>
    </row>
    <row r="95" spans="1:11" x14ac:dyDescent="0.25">
      <c r="A95" s="26">
        <v>47150</v>
      </c>
      <c r="B95" s="19"/>
      <c r="C95" s="25"/>
      <c r="D95" s="25"/>
      <c r="E95" s="25"/>
      <c r="F95" s="25"/>
      <c r="G95" s="25"/>
      <c r="H95" s="25"/>
      <c r="I95" s="25"/>
      <c r="J95" s="25"/>
      <c r="K95" s="25"/>
    </row>
    <row r="96" spans="1:11" x14ac:dyDescent="0.25">
      <c r="A96" s="22">
        <v>47178</v>
      </c>
      <c r="B96" s="18"/>
      <c r="C96" s="24"/>
      <c r="D96" s="24"/>
      <c r="E96" s="24"/>
      <c r="F96" s="24"/>
      <c r="G96" s="24"/>
      <c r="H96" s="24"/>
      <c r="I96" s="24"/>
      <c r="J96" s="24"/>
      <c r="K96" s="27"/>
    </row>
    <row r="97" spans="1:11" x14ac:dyDescent="0.25">
      <c r="B97" s="19"/>
      <c r="C97" s="25"/>
      <c r="D97" s="25"/>
      <c r="E97" s="25"/>
      <c r="F97" s="25"/>
      <c r="G97" s="25"/>
      <c r="H97" s="25"/>
      <c r="I97" s="25"/>
      <c r="J97" s="25"/>
      <c r="K97" s="25"/>
    </row>
    <row r="98" spans="1:11" x14ac:dyDescent="0.25">
      <c r="B98" s="18"/>
      <c r="C98" s="24"/>
      <c r="D98" s="24"/>
      <c r="E98" s="24"/>
      <c r="F98" s="24"/>
      <c r="G98" s="24"/>
      <c r="H98" s="24"/>
      <c r="I98" s="24"/>
      <c r="J98" s="24"/>
      <c r="K98" s="27"/>
    </row>
    <row r="99" spans="1:1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spans="1:11" x14ac:dyDescent="0.25">
      <c r="A100" s="23"/>
    </row>
    <row r="101" spans="1:11" x14ac:dyDescent="0.25">
      <c r="A101" s="23"/>
    </row>
    <row r="102" spans="1:11" x14ac:dyDescent="0.25">
      <c r="A102" s="23"/>
    </row>
    <row r="103" spans="1:11" x14ac:dyDescent="0.25">
      <c r="A103" s="23"/>
    </row>
    <row r="104" spans="1:11" x14ac:dyDescent="0.25">
      <c r="A104" s="23"/>
    </row>
    <row r="105" spans="1:11" x14ac:dyDescent="0.25">
      <c r="A105" s="23"/>
    </row>
    <row r="106" spans="1:11" x14ac:dyDescent="0.25">
      <c r="A106" s="23"/>
    </row>
    <row r="107" spans="1:11" x14ac:dyDescent="0.25">
      <c r="A107" s="23"/>
    </row>
  </sheetData>
  <mergeCells count="7">
    <mergeCell ref="L46:P46"/>
    <mergeCell ref="A1:H2"/>
    <mergeCell ref="A4:C4"/>
    <mergeCell ref="A5:C5"/>
    <mergeCell ref="E5:F5"/>
    <mergeCell ref="A6:C6"/>
    <mergeCell ref="A7:C7"/>
  </mergeCell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4F2284E3BBA540A93B20151C80E99C" ma:contentTypeVersion="14" ma:contentTypeDescription="Crie um novo documento." ma:contentTypeScope="" ma:versionID="54264934a7d545239aeff42e5c0fa56c">
  <xsd:schema xmlns:xsd="http://www.w3.org/2001/XMLSchema" xmlns:xs="http://www.w3.org/2001/XMLSchema" xmlns:p="http://schemas.microsoft.com/office/2006/metadata/properties" xmlns:ns3="f7c846d2-c4a1-48ec-aa88-178dbb7f989f" xmlns:ns4="42c39c88-0682-4be2-b5de-d792111a814f" targetNamespace="http://schemas.microsoft.com/office/2006/metadata/properties" ma:root="true" ma:fieldsID="124154702349531f34ca70c11e38f694" ns3:_="" ns4:_="">
    <xsd:import namespace="f7c846d2-c4a1-48ec-aa88-178dbb7f989f"/>
    <xsd:import namespace="42c39c88-0682-4be2-b5de-d792111a81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846d2-c4a1-48ec-aa88-178dbb7f98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39c88-0682-4be2-b5de-d792111a814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791F82-C468-483F-8FF0-4E59A60579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337C00-EBD5-4575-B2C0-F5EBB4ED9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c846d2-c4a1-48ec-aa88-178dbb7f989f"/>
    <ds:schemaRef ds:uri="42c39c88-0682-4be2-b5de-d792111a81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7D276-7E15-4C17-8F39-11DDA7AE64A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 COTA-ÁREA-VOLUME</vt:lpstr>
      <vt:lpstr>Dados de demanda e evaporação</vt:lpstr>
      <vt:lpstr>Vazões afluentes</vt:lpstr>
      <vt:lpstr>Dados de precipitação</vt:lpstr>
      <vt:lpstr>Dimensionamento (2017)</vt:lpstr>
      <vt:lpstr>Dimensionamento 2016</vt:lpstr>
      <vt:lpstr>Dimensionamento polinomial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BALANÇO HÍDRICO - HIDROLOGIA</dc:title>
  <dc:subject/>
  <dc:creator>Emanuel Gomes Soares</dc:creator>
  <cp:keywords>AÇUDE BOQUEIRÃO</cp:keywords>
  <dc:description/>
  <cp:lastModifiedBy>Emanuel Gomes Soares</cp:lastModifiedBy>
  <cp:revision/>
  <dcterms:created xsi:type="dcterms:W3CDTF">2022-04-03T18:47:34Z</dcterms:created>
  <dcterms:modified xsi:type="dcterms:W3CDTF">2024-03-15T18:13:14Z</dcterms:modified>
  <cp:category>HIDROLOGIA, 2023.1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0x010100134F2284E3BBA540A93B20151C80E99C</vt:lpwstr>
  </property>
</Properties>
</file>