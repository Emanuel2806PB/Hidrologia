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demicoufpb-my.sharepoint.com/personal/emanuel_gomes_academico_ufpb_br/Documents/MONITORIA-HIDROLOGIA/LISTAS/02 - PRECIPITAÇÃO/Chuvas Intensas - IDF/"/>
    </mc:Choice>
  </mc:AlternateContent>
  <xr:revisionPtr revIDLastSave="107" documentId="8_{85367099-016B-4ACD-9755-7D5AA27D566E}" xr6:coauthVersionLast="47" xr6:coauthVersionMax="47" xr10:uidLastSave="{8CA2CF6F-3B55-4C54-8273-737CF1C7B300}"/>
  <bookViews>
    <workbookView xWindow="5040" yWindow="2220" windowWidth="21600" windowHeight="11295" activeTab="2" xr2:uid="{41B0DF16-6157-4A42-879F-74B4808B9AE7}"/>
  </bookViews>
  <sheets>
    <sheet name="Planilha1" sheetId="1" r:id="rId1"/>
    <sheet name="Planilha2" sheetId="3" r:id="rId2"/>
    <sheet name="Curva IDF-J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" i="3"/>
  <c r="B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" i="2"/>
  <c r="J3" i="2"/>
  <c r="J4" i="2"/>
  <c r="J5" i="2"/>
  <c r="J6" i="2"/>
  <c r="J7" i="2"/>
  <c r="J8" i="2"/>
  <c r="J9" i="2"/>
  <c r="J10" i="2"/>
  <c r="J11" i="2"/>
  <c r="J12" i="2"/>
  <c r="J13" i="2"/>
  <c r="J14" i="2"/>
  <c r="I3" i="2"/>
  <c r="I4" i="2"/>
  <c r="I5" i="2"/>
  <c r="I6" i="2"/>
  <c r="I7" i="2"/>
  <c r="I8" i="2"/>
  <c r="I9" i="2"/>
  <c r="I10" i="2"/>
  <c r="I11" i="2"/>
  <c r="I12" i="2"/>
  <c r="I13" i="2"/>
  <c r="I14" i="2"/>
  <c r="H3" i="2"/>
  <c r="H4" i="2"/>
  <c r="H5" i="2"/>
  <c r="H6" i="2"/>
  <c r="H7" i="2"/>
  <c r="H8" i="2"/>
  <c r="H9" i="2"/>
  <c r="H10" i="2"/>
  <c r="H11" i="2"/>
  <c r="H12" i="2"/>
  <c r="H13" i="2"/>
  <c r="H14" i="2"/>
  <c r="G3" i="2"/>
  <c r="G4" i="2"/>
  <c r="G5" i="2"/>
  <c r="G6" i="2"/>
  <c r="G7" i="2"/>
  <c r="G8" i="2"/>
  <c r="G9" i="2"/>
  <c r="G10" i="2"/>
  <c r="G11" i="2"/>
  <c r="G12" i="2"/>
  <c r="G13" i="2"/>
  <c r="G1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2" i="2"/>
  <c r="H2" i="2"/>
  <c r="I2" i="2"/>
  <c r="J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D4" i="2"/>
  <c r="D5" i="2"/>
  <c r="D6" i="2"/>
  <c r="D7" i="2"/>
  <c r="D8" i="2"/>
  <c r="D9" i="2"/>
  <c r="D10" i="2"/>
  <c r="D11" i="2"/>
  <c r="D12" i="2"/>
  <c r="D13" i="2"/>
  <c r="D14" i="2"/>
  <c r="D3" i="2"/>
  <c r="J39" i="1"/>
  <c r="J38" i="1"/>
  <c r="J37" i="1"/>
  <c r="J36" i="1"/>
  <c r="I37" i="1"/>
  <c r="I38" i="1"/>
  <c r="I39" i="1"/>
  <c r="I3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B24" i="1"/>
  <c r="C24" i="3" l="1"/>
  <c r="D24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" i="3"/>
  <c r="C24" i="1"/>
  <c r="D24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" i="1"/>
</calcChain>
</file>

<file path=xl/sharedStrings.xml><?xml version="1.0" encoding="utf-8"?>
<sst xmlns="http://schemas.openxmlformats.org/spreadsheetml/2006/main" count="65" uniqueCount="38">
  <si>
    <t>Bloco</t>
  </si>
  <si>
    <t>Nº de Ocorrências</t>
  </si>
  <si>
    <t>% Frequência</t>
  </si>
  <si>
    <t>%Frequencia Acumulada</t>
  </si>
  <si>
    <t>P = 0</t>
  </si>
  <si>
    <t>P &lt; 10mm</t>
  </si>
  <si>
    <t>10 &lt; P &lt; 20mm</t>
  </si>
  <si>
    <t>20 &lt; P &lt; 30mm</t>
  </si>
  <si>
    <t>30 &lt; P &lt; 40mm</t>
  </si>
  <si>
    <t>40 &lt; P &lt; 50mm</t>
  </si>
  <si>
    <t>50 &lt; P &lt; 60mm</t>
  </si>
  <si>
    <t>60 &lt; P &lt; 70mm</t>
  </si>
  <si>
    <t>70 &lt; P &lt; 80mm</t>
  </si>
  <si>
    <t>80 &lt; P &lt; 90mm</t>
  </si>
  <si>
    <t>90 &lt; P &lt; 100mm</t>
  </si>
  <si>
    <t>100 &lt; P &lt; 110 mm</t>
  </si>
  <si>
    <t>110 &lt; P &lt; 120mm</t>
  </si>
  <si>
    <t>120 &lt; P &lt; 130 mm</t>
  </si>
  <si>
    <t>130 &lt; P &lt; 140 mm</t>
  </si>
  <si>
    <t>140  &lt; P &lt; 150 mm</t>
  </si>
  <si>
    <t>150 &lt; P &lt; 160 mm</t>
  </si>
  <si>
    <t>160 &lt; P &lt; 170 mm</t>
  </si>
  <si>
    <t>170 &lt; P &lt; 180 mm</t>
  </si>
  <si>
    <t>180  &lt; P &lt; 190 mm</t>
  </si>
  <si>
    <t>190 &lt; P &lt; 200 mm</t>
  </si>
  <si>
    <t>P &gt; 200 mm</t>
  </si>
  <si>
    <t>TOTAL</t>
  </si>
  <si>
    <t xml:space="preserve">Tempo (min)  </t>
  </si>
  <si>
    <r>
      <t xml:space="preserve">I (mm.h 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)</t>
    </r>
  </si>
  <si>
    <t>P acum (mm)</t>
  </si>
  <si>
    <t xml:space="preserve"> P(mm)</t>
  </si>
  <si>
    <t>a</t>
  </si>
  <si>
    <t>Td</t>
  </si>
  <si>
    <t>b</t>
  </si>
  <si>
    <t>c</t>
  </si>
  <si>
    <t>d</t>
  </si>
  <si>
    <t>TR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</si>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</sst>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 vertical="center"/>
    </xf>
    <xf numFmtId="9" fontId="4" fillId="2" borderId="8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</cellXfs>
  <cellStyles count="2">
    <cellStyle name="Normal" xfId="0" builtinId="0"/>
    <cellStyle name="Porcentagem" xfId="1" builtinId="5"/>
  </cellStyles>
  <dxfs count="33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"/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4" formatCode="0.00%"/>
      <alignment horizontal="left" vertical="center" textRotation="0" wrapText="0" indent="0" justifyLastLine="0" shrinkToFit="0" readingOrder="0"/>
    </dxf>
    <dxf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5"/>
          <c:order val="0"/>
          <c:tx>
            <c:v>Tr = 100 anos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 IDF-JP'!$D$2:$D$14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xVal>
          <c:yVal>
            <c:numRef>
              <c:f>'Curva IDF-JP'!$J$2:$J$14</c:f>
              <c:numCache>
                <c:formatCode>General</c:formatCode>
                <c:ptCount val="13"/>
                <c:pt idx="0">
                  <c:v>264.34252972942403</c:v>
                </c:pt>
                <c:pt idx="1">
                  <c:v>198.50139185290953</c:v>
                </c:pt>
                <c:pt idx="2">
                  <c:v>141.76555123231338</c:v>
                </c:pt>
                <c:pt idx="3">
                  <c:v>114.56894386282303</c:v>
                </c:pt>
                <c:pt idx="4">
                  <c:v>98.003987302120066</c:v>
                </c:pt>
                <c:pt idx="5">
                  <c:v>86.629811836432552</c:v>
                </c:pt>
                <c:pt idx="6">
                  <c:v>78.231059131098419</c:v>
                </c:pt>
                <c:pt idx="7">
                  <c:v>71.718243874387468</c:v>
                </c:pt>
                <c:pt idx="8">
                  <c:v>66.486590070933417</c:v>
                </c:pt>
                <c:pt idx="9">
                  <c:v>62.170619441139294</c:v>
                </c:pt>
                <c:pt idx="10">
                  <c:v>58.53507398075309</c:v>
                </c:pt>
                <c:pt idx="11">
                  <c:v>55.420935518738645</c:v>
                </c:pt>
                <c:pt idx="12">
                  <c:v>52.716445368107301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919-437C-8673-E904C920DD88}"/>
            </c:ext>
          </c:extLst>
        </c:ser>
        <c:ser>
          <c:idx val="4"/>
          <c:order val="1"/>
          <c:tx>
            <c:v>Tr = 50 anos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 IDF-JP'!$D$2:$D$14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xVal>
          <c:yVal>
            <c:numRef>
              <c:f>'Curva IDF-JP'!$I$2:$I$14</c:f>
              <c:numCache>
                <c:formatCode>General</c:formatCode>
                <c:ptCount val="13"/>
                <c:pt idx="0">
                  <c:v>228.53395876919325</c:v>
                </c:pt>
                <c:pt idx="1">
                  <c:v>171.61184372327202</c:v>
                </c:pt>
                <c:pt idx="2">
                  <c:v>122.56159715721751</c:v>
                </c:pt>
                <c:pt idx="3">
                  <c:v>99.049117521031249</c:v>
                </c:pt>
                <c:pt idx="4">
                  <c:v>84.72809583930605</c:v>
                </c:pt>
                <c:pt idx="5">
                  <c:v>74.894697673790702</c:v>
                </c:pt>
                <c:pt idx="6">
                  <c:v>67.633663263481694</c:v>
                </c:pt>
                <c:pt idx="7">
                  <c:v>62.003091993425194</c:v>
                </c:pt>
                <c:pt idx="8">
                  <c:v>57.480132499025771</c:v>
                </c:pt>
                <c:pt idx="9">
                  <c:v>53.748815200337496</c:v>
                </c:pt>
                <c:pt idx="10">
                  <c:v>50.605750793721327</c:v>
                </c:pt>
                <c:pt idx="11">
                  <c:v>47.913462149862028</c:v>
                </c:pt>
                <c:pt idx="12">
                  <c:v>45.575329722935813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19-437C-8673-E904C920DD88}"/>
            </c:ext>
          </c:extLst>
        </c:ser>
        <c:ser>
          <c:idx val="3"/>
          <c:order val="2"/>
          <c:tx>
            <c:v>Tr = 25 anos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 IDF-JP'!$D$2:$D$14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xVal>
          <c:yVal>
            <c:numRef>
              <c:f>'Curva IDF-JP'!$H$2:$H$14</c:f>
              <c:numCache>
                <c:formatCode>General</c:formatCode>
                <c:ptCount val="13"/>
                <c:pt idx="0">
                  <c:v>197.57611597414416</c:v>
                </c:pt>
                <c:pt idx="1">
                  <c:v>148.36482823215562</c:v>
                </c:pt>
                <c:pt idx="2">
                  <c:v>105.95906387097075</c:v>
                </c:pt>
                <c:pt idx="3">
                  <c:v>85.631649825119709</c:v>
                </c:pt>
                <c:pt idx="4">
                  <c:v>73.250593390901102</c:v>
                </c:pt>
                <c:pt idx="5">
                  <c:v>64.749254566538639</c:v>
                </c:pt>
                <c:pt idx="6">
                  <c:v>58.471819981018946</c:v>
                </c:pt>
                <c:pt idx="7">
                  <c:v>53.603981484522684</c:v>
                </c:pt>
                <c:pt idx="8">
                  <c:v>49.693714605916981</c:v>
                </c:pt>
                <c:pt idx="9">
                  <c:v>46.467851879377875</c:v>
                </c:pt>
                <c:pt idx="10">
                  <c:v>43.750555679459637</c:v>
                </c:pt>
                <c:pt idx="11">
                  <c:v>41.422971909415907</c:v>
                </c:pt>
                <c:pt idx="12">
                  <c:v>39.401569374609984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19-437C-8673-E904C920DD88}"/>
            </c:ext>
          </c:extLst>
        </c:ser>
        <c:ser>
          <c:idx val="2"/>
          <c:order val="3"/>
          <c:tx>
            <c:v>Tr = 10 anos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 IDF-JP'!$D$2:$D$14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xVal>
          <c:yVal>
            <c:numRef>
              <c:f>'Curva IDF-JP'!$G$2:$G$14</c:f>
              <c:numCache>
                <c:formatCode>General</c:formatCode>
                <c:ptCount val="13"/>
                <c:pt idx="0">
                  <c:v>162.99228261058309</c:v>
                </c:pt>
                <c:pt idx="1">
                  <c:v>122.39496607905156</c:v>
                </c:pt>
                <c:pt idx="2">
                  <c:v>87.411930325982311</c:v>
                </c:pt>
                <c:pt idx="3">
                  <c:v>70.642638154365414</c:v>
                </c:pt>
                <c:pt idx="4">
                  <c:v>60.4287687329834</c:v>
                </c:pt>
                <c:pt idx="5">
                  <c:v>53.415508990544971</c:v>
                </c:pt>
                <c:pt idx="6">
                  <c:v>48.236880050565347</c:v>
                </c:pt>
                <c:pt idx="7">
                  <c:v>44.221110715230175</c:v>
                </c:pt>
                <c:pt idx="8">
                  <c:v>40.995299128550798</c:v>
                </c:pt>
                <c:pt idx="9">
                  <c:v>38.33409321003878</c:v>
                </c:pt>
                <c:pt idx="10">
                  <c:v>36.092434050124446</c:v>
                </c:pt>
                <c:pt idx="11">
                  <c:v>34.17227183934174</c:v>
                </c:pt>
                <c:pt idx="12">
                  <c:v>32.504696729878845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19-437C-8673-E904C920DD88}"/>
            </c:ext>
          </c:extLst>
        </c:ser>
        <c:ser>
          <c:idx val="1"/>
          <c:order val="4"/>
          <c:tx>
            <c:v>Tr = 5 anos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 IDF-JP'!$D$2:$D$14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xVal>
          <c:yVal>
            <c:numRef>
              <c:f>'Curva IDF-JP'!$F$2:$F$14</c:f>
              <c:numCache>
                <c:formatCode>General</c:formatCode>
                <c:ptCount val="13"/>
                <c:pt idx="0">
                  <c:v>140.91289673270262</c:v>
                </c:pt>
                <c:pt idx="1">
                  <c:v>105.8150051000033</c:v>
                </c:pt>
                <c:pt idx="2">
                  <c:v>75.570868227300764</c:v>
                </c:pt>
                <c:pt idx="3">
                  <c:v>61.073190802258431</c:v>
                </c:pt>
                <c:pt idx="4">
                  <c:v>52.242920411756756</c:v>
                </c:pt>
                <c:pt idx="5">
                  <c:v>46.17969625158613</c:v>
                </c:pt>
                <c:pt idx="6">
                  <c:v>41.702578725845363</c:v>
                </c:pt>
                <c:pt idx="7">
                  <c:v>38.230796623103664</c:v>
                </c:pt>
                <c:pt idx="8">
                  <c:v>35.441962405235039</c:v>
                </c:pt>
                <c:pt idx="9">
                  <c:v>33.141250808504559</c:v>
                </c:pt>
                <c:pt idx="10">
                  <c:v>31.203253004856307</c:v>
                </c:pt>
                <c:pt idx="11">
                  <c:v>29.543201283484233</c:v>
                </c:pt>
                <c:pt idx="12">
                  <c:v>28.101520515351275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19-437C-8673-E904C920DD88}"/>
            </c:ext>
          </c:extLst>
        </c:ser>
        <c:ser>
          <c:idx val="0"/>
          <c:order val="5"/>
          <c:tx>
            <c:v>Tr = 2 anos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 IDF-JP'!$D$2:$D$14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xVal>
          <c:yVal>
            <c:numRef>
              <c:f>'Curva IDF-JP'!$E$2:$E$14</c:f>
              <c:numCache>
                <c:formatCode>General</c:formatCode>
                <c:ptCount val="13"/>
                <c:pt idx="0">
                  <c:v>116.24742481899101</c:v>
                </c:pt>
                <c:pt idx="1">
                  <c:v>87.293087682506439</c:v>
                </c:pt>
                <c:pt idx="2">
                  <c:v>62.342901369937181</c:v>
                </c:pt>
                <c:pt idx="3">
                  <c:v>50.382905474639763</c:v>
                </c:pt>
                <c:pt idx="4">
                  <c:v>43.098290530569997</c:v>
                </c:pt>
                <c:pt idx="5">
                  <c:v>38.096376503799803</c:v>
                </c:pt>
                <c:pt idx="6">
                  <c:v>34.402936122919805</c:v>
                </c:pt>
                <c:pt idx="7">
                  <c:v>31.538856692759872</c:v>
                </c:pt>
                <c:pt idx="8">
                  <c:v>29.238181569394289</c:v>
                </c:pt>
                <c:pt idx="9">
                  <c:v>27.340187811743874</c:v>
                </c:pt>
                <c:pt idx="10">
                  <c:v>25.741418222851543</c:v>
                </c:pt>
                <c:pt idx="11">
                  <c:v>24.371942879215013</c:v>
                </c:pt>
                <c:pt idx="12">
                  <c:v>23.182614715559236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19-437C-8673-E904C920D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450495"/>
        <c:axId val="1338477599"/>
      </c:scatterChart>
      <c:valAx>
        <c:axId val="719450495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Aparajita" panose="020B0502040204020203" pitchFamily="18" charset="0"/>
                  </a:defRPr>
                </a:pPr>
                <a:r>
                  <a:rPr lang="en-US" sz="1200" b="1">
                    <a:latin typeface="Aptos" panose="020B0004020202020204" pitchFamily="34" charset="0"/>
                  </a:rPr>
                  <a:t>Duração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Aparajita" panose="020B0502040204020203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Aparajita" panose="020B0502040204020203" pitchFamily="18" charset="0"/>
              </a:defRPr>
            </a:pPr>
            <a:endParaRPr lang="en-US"/>
          </a:p>
        </c:txPr>
        <c:crossAx val="1338477599"/>
        <c:crosses val="autoZero"/>
        <c:crossBetween val="midCat"/>
        <c:majorUnit val="10"/>
      </c:valAx>
      <c:valAx>
        <c:axId val="13384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Aparajita" panose="020B0502040204020203" pitchFamily="18" charset="0"/>
                  </a:defRPr>
                </a:pPr>
                <a:r>
                  <a:rPr lang="pt-BR" sz="1200" b="1">
                    <a:latin typeface="Aptos" panose="020B0004020202020204" pitchFamily="34" charset="0"/>
                  </a:rPr>
                  <a:t>Intensidade máxima (mm/h)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Aparajita" panose="020B0502040204020203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Aparajita" panose="020B0502040204020203" pitchFamily="18" charset="0"/>
              </a:defRPr>
            </a:pPr>
            <a:endParaRPr lang="en-US"/>
          </a:p>
        </c:txPr>
        <c:crossAx val="7194504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42325139117317"/>
          <c:y val="0.66798866808315627"/>
          <c:w val="0.19993867679663888"/>
          <c:h val="0.17904634599720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Aparajita" panose="020B0502040204020203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arajita" panose="020B0502040204020203" pitchFamily="18" charset="0"/>
          <a:cs typeface="Aparajita" panose="020B0502040204020203" pitchFamily="18" charset="0"/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0</xdr:row>
      <xdr:rowOff>95250</xdr:rowOff>
    </xdr:from>
    <xdr:to>
      <xdr:col>19</xdr:col>
      <xdr:colOff>267417</xdr:colOff>
      <xdr:row>28</xdr:row>
      <xdr:rowOff>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7C0174-529D-F9D4-9DD9-4C11D4BFB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95250"/>
          <a:ext cx="5134692" cy="5430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1</xdr:row>
      <xdr:rowOff>123825</xdr:rowOff>
    </xdr:from>
    <xdr:to>
      <xdr:col>19</xdr:col>
      <xdr:colOff>419100</xdr:colOff>
      <xdr:row>39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43C696-A253-E5D5-ABD8-A236D0ECC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4C7FA-8BD3-4A70-9ADC-C0D477A6777B}" name="Tabela1" displayName="Tabela1" ref="A1:D24" totalsRowShown="0" headerRowDxfId="32" dataDxfId="30" headerRowBorderDxfId="31" tableBorderDxfId="29" totalsRowBorderDxfId="28">
  <autoFilter ref="A1:D24" xr:uid="{6274C7FA-8BD3-4A70-9ADC-C0D477A6777B}"/>
  <tableColumns count="4">
    <tableColumn id="1" xr3:uid="{0A7A0CAF-C28A-4593-A39D-01631C77E67B}" name="Bloco" dataDxfId="27" totalsRowDxfId="26"/>
    <tableColumn id="2" xr3:uid="{0D0D919A-2273-4D50-B75F-3D16263DA59A}" name="Nº de Ocorrências" dataDxfId="25" totalsRowDxfId="24"/>
    <tableColumn id="3" xr3:uid="{BE49ECB7-70D3-41F2-B481-3FEC9243B429}" name="% Frequência" dataDxfId="23" totalsRowDxfId="22"/>
    <tableColumn id="4" xr3:uid="{63CB46F8-3C80-41F4-876A-1C12E5722643}" name="%Frequencia Acumulada" dataDxfId="21">
      <calculatedColumnFormula>SUM(Tabela1[[#This Row],[% Frequência]],C1)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F2FA78-754E-492F-A128-F6DA35282E1E}" name="Tabela2" displayName="Tabela2" ref="G35:J39" totalsRowShown="0" headerRowDxfId="20" dataDxfId="18" headerRowBorderDxfId="19" tableBorderDxfId="17" totalsRowBorderDxfId="16">
  <autoFilter ref="G35:J39" xr:uid="{79F2FA78-754E-492F-A128-F6DA35282E1E}"/>
  <tableColumns count="4">
    <tableColumn id="1" xr3:uid="{4EC2F789-4817-4228-80F4-0A75012076D1}" name="Tempo (min)  " dataDxfId="15"/>
    <tableColumn id="2" xr3:uid="{2936F06A-2FD6-41BF-A2C7-A9B99701124E}" name="I (mm.h -1 )" dataDxfId="14"/>
    <tableColumn id="3" xr3:uid="{6967E959-B6E0-45F6-9A26-4D3D8EC47861}" name="P acum (mm)" dataDxfId="13">
      <calculatedColumnFormula>H36*G36/60</calculatedColumnFormula>
    </tableColumn>
    <tableColumn id="4" xr3:uid="{AFB5990E-D031-48C1-981C-FC62F5AC9C05}" name=" P(mm)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1E4BD0-1604-45AF-8907-A3E16C1E64F1}" name="Tabela15" displayName="Tabela15" ref="A1:D24" totalsRowShown="0" headerRowDxfId="11" dataDxfId="9" headerRowBorderDxfId="10" tableBorderDxfId="8" totalsRowBorderDxfId="7">
  <autoFilter ref="A1:D24" xr:uid="{391E4BD0-1604-45AF-8907-A3E16C1E64F1}"/>
  <tableColumns count="4">
    <tableColumn id="1" xr3:uid="{24A0BE86-FE81-474F-BCFC-402EDC6D39B1}" name="Bloco" dataDxfId="6" totalsRowDxfId="5"/>
    <tableColumn id="2" xr3:uid="{383977D9-C7D6-44FA-8CE3-89AEE91C9149}" name="Nº de Ocorrências" dataDxfId="4" totalsRowDxfId="3"/>
    <tableColumn id="3" xr3:uid="{0212DFBD-76DD-42F4-AE60-099D1CC0EA56}" name="% Frequência" dataDxfId="2" totalsRowDxfId="1"/>
    <tableColumn id="4" xr3:uid="{B4D24F91-8098-44D4-BEC7-55ADA20B4FC7}" name="%Frequencia Acumulada" dataDxfId="0">
      <calculatedColumnFormula>SUM(Tabela15[[#This Row],[% Frequência]],C1)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341A-FCC0-4A8D-A407-4579BD5CE8E8}">
  <dimension ref="A1:J39"/>
  <sheetViews>
    <sheetView workbookViewId="0">
      <selection sqref="A1:D24"/>
    </sheetView>
  </sheetViews>
  <sheetFormatPr defaultRowHeight="15" x14ac:dyDescent="0.25"/>
  <cols>
    <col min="1" max="1" width="18" bestFit="1" customWidth="1"/>
    <col min="2" max="2" width="19" customWidth="1"/>
    <col min="3" max="3" width="19" bestFit="1" customWidth="1"/>
    <col min="4" max="4" width="30.42578125" bestFit="1" customWidth="1"/>
    <col min="5" max="5" width="5.5703125" bestFit="1" customWidth="1"/>
    <col min="7" max="7" width="15.42578125" customWidth="1"/>
    <col min="8" max="8" width="13.28515625" customWidth="1"/>
    <col min="9" max="9" width="14.7109375" customWidth="1"/>
    <col min="10" max="10" width="9.5703125" customWidth="1"/>
  </cols>
  <sheetData>
    <row r="1" spans="1:4" x14ac:dyDescent="0.25">
      <c r="A1" s="5" t="s">
        <v>0</v>
      </c>
      <c r="B1" s="6" t="s">
        <v>1</v>
      </c>
      <c r="C1" s="7" t="s">
        <v>2</v>
      </c>
      <c r="D1" s="8" t="s">
        <v>3</v>
      </c>
    </row>
    <row r="2" spans="1:4" x14ac:dyDescent="0.25">
      <c r="A2" s="10" t="s">
        <v>4</v>
      </c>
      <c r="B2" s="1">
        <v>5597</v>
      </c>
      <c r="C2" s="2">
        <f>SUM(Tabela1[[#This Row],[Nº de Ocorrências]])/SUBTOTAL(109,$B$2:$B$23)</f>
        <v>0.67604783186375161</v>
      </c>
      <c r="D2" s="2">
        <f>C2</f>
        <v>0.67604783186375161</v>
      </c>
    </row>
    <row r="3" spans="1:4" x14ac:dyDescent="0.25">
      <c r="A3" s="10" t="s">
        <v>5</v>
      </c>
      <c r="B3" s="1">
        <v>1464</v>
      </c>
      <c r="C3" s="2">
        <f>SUM(Tabela1[[#This Row],[Nº de Ocorrências]])/SUBTOTAL(109,$B$2:$B$23)</f>
        <v>0.17683295083947337</v>
      </c>
      <c r="D3" s="2">
        <f>C2+C3</f>
        <v>0.85288078270322498</v>
      </c>
    </row>
    <row r="4" spans="1:4" x14ac:dyDescent="0.25">
      <c r="A4" s="10" t="s">
        <v>6</v>
      </c>
      <c r="B4" s="1">
        <v>459</v>
      </c>
      <c r="C4" s="2">
        <f>SUM(Tabela1[[#This Row],[Nº de Ocorrências]])/SUBTOTAL(109,$B$2:$B$23)</f>
        <v>5.5441478439425054E-2</v>
      </c>
      <c r="D4" s="2">
        <f>D3+C4</f>
        <v>0.90832226114265002</v>
      </c>
    </row>
    <row r="5" spans="1:4" x14ac:dyDescent="0.25">
      <c r="A5" s="10" t="s">
        <v>7</v>
      </c>
      <c r="B5" s="1">
        <v>289</v>
      </c>
      <c r="C5" s="2">
        <f>SUM(Tabela1[[#This Row],[Nº de Ocorrências]])/SUBTOTAL(109,$B$2:$B$23)</f>
        <v>3.4907597535934289E-2</v>
      </c>
      <c r="D5" s="2">
        <f t="shared" ref="D5:D23" si="0">D4+C5</f>
        <v>0.94322985867858433</v>
      </c>
    </row>
    <row r="6" spans="1:4" x14ac:dyDescent="0.25">
      <c r="A6" s="10" t="s">
        <v>8</v>
      </c>
      <c r="B6" s="1">
        <v>177</v>
      </c>
      <c r="C6" s="2">
        <f>SUM(Tabela1[[#This Row],[Nº de Ocorrências]])/SUBTOTAL(109,$B$2:$B$23)</f>
        <v>2.1379393646575675E-2</v>
      </c>
      <c r="D6" s="2">
        <f t="shared" si="0"/>
        <v>0.96460925232516004</v>
      </c>
    </row>
    <row r="7" spans="1:4" x14ac:dyDescent="0.25">
      <c r="A7" s="10" t="s">
        <v>9</v>
      </c>
      <c r="B7" s="1">
        <v>111</v>
      </c>
      <c r="C7" s="2">
        <f>SUM(Tabela1[[#This Row],[Nº de Ocorrências]])/SUBTOTAL(109,$B$2:$B$23)</f>
        <v>1.3407416354632202E-2</v>
      </c>
      <c r="D7" s="2">
        <f t="shared" si="0"/>
        <v>0.9780166686797922</v>
      </c>
    </row>
    <row r="8" spans="1:4" x14ac:dyDescent="0.25">
      <c r="A8" s="10" t="s">
        <v>10</v>
      </c>
      <c r="B8" s="1">
        <v>66</v>
      </c>
      <c r="C8" s="2">
        <f>SUM(Tabela1[[#This Row],[Nº de Ocorrências]])/SUBTOTAL(109,$B$2:$B$23)</f>
        <v>7.971977291943471E-3</v>
      </c>
      <c r="D8" s="2">
        <f t="shared" si="0"/>
        <v>0.98598864597173563</v>
      </c>
    </row>
    <row r="9" spans="1:4" x14ac:dyDescent="0.25">
      <c r="A9" s="10" t="s">
        <v>11</v>
      </c>
      <c r="B9" s="1">
        <v>38</v>
      </c>
      <c r="C9" s="2">
        <f>SUM(Tabela1[[#This Row],[Nº de Ocorrências]])/SUBTOTAL(109,$B$2:$B$23)</f>
        <v>4.5899263196038168E-3</v>
      </c>
      <c r="D9" s="2">
        <f t="shared" si="0"/>
        <v>0.9905785722913395</v>
      </c>
    </row>
    <row r="10" spans="1:4" x14ac:dyDescent="0.25">
      <c r="A10" s="10" t="s">
        <v>12</v>
      </c>
      <c r="B10" s="1">
        <v>28</v>
      </c>
      <c r="C10" s="2">
        <f>SUM(Tabela1[[#This Row],[Nº de Ocorrências]])/SUBTOTAL(109,$B$2:$B$23)</f>
        <v>3.3820509723396547E-3</v>
      </c>
      <c r="D10" s="2">
        <f t="shared" si="0"/>
        <v>0.99396062326367918</v>
      </c>
    </row>
    <row r="11" spans="1:4" x14ac:dyDescent="0.25">
      <c r="A11" s="10" t="s">
        <v>13</v>
      </c>
      <c r="B11" s="1">
        <v>20</v>
      </c>
      <c r="C11" s="2">
        <f>SUM(Tabela1[[#This Row],[Nº de Ocorrências]])/SUBTOTAL(109,$B$2:$B$23)</f>
        <v>2.4157506945283245E-3</v>
      </c>
      <c r="D11" s="2">
        <f t="shared" si="0"/>
        <v>0.99637637395820755</v>
      </c>
    </row>
    <row r="12" spans="1:4" x14ac:dyDescent="0.25">
      <c r="A12" s="10" t="s">
        <v>14</v>
      </c>
      <c r="B12" s="1">
        <v>8</v>
      </c>
      <c r="C12" s="2">
        <f>SUM(Tabela1[[#This Row],[Nº de Ocorrências]])/SUBTOTAL(109,$B$2:$B$23)</f>
        <v>9.6630027781132984E-4</v>
      </c>
      <c r="D12" s="2">
        <f t="shared" si="0"/>
        <v>0.99734267423601886</v>
      </c>
    </row>
    <row r="13" spans="1:4" x14ac:dyDescent="0.25">
      <c r="A13" s="10" t="s">
        <v>15</v>
      </c>
      <c r="B13" s="1">
        <v>7</v>
      </c>
      <c r="C13" s="2">
        <f>SUM(Tabela1[[#This Row],[Nº de Ocorrências]])/SUBTOTAL(109,$B$2:$B$23)</f>
        <v>8.4551274308491367E-4</v>
      </c>
      <c r="D13" s="2">
        <f t="shared" si="0"/>
        <v>0.99818818697910372</v>
      </c>
    </row>
    <row r="14" spans="1:4" x14ac:dyDescent="0.25">
      <c r="A14" s="10" t="s">
        <v>16</v>
      </c>
      <c r="B14" s="1">
        <v>2</v>
      </c>
      <c r="C14" s="2">
        <f>SUM(Tabela1[[#This Row],[Nº de Ocorrências]])/SUBTOTAL(109,$B$2:$B$23)</f>
        <v>2.4157506945283246E-4</v>
      </c>
      <c r="D14" s="2">
        <f t="shared" si="0"/>
        <v>0.9984297620485566</v>
      </c>
    </row>
    <row r="15" spans="1:4" x14ac:dyDescent="0.25">
      <c r="A15" s="10" t="s">
        <v>17</v>
      </c>
      <c r="B15" s="1">
        <v>5</v>
      </c>
      <c r="C15" s="2">
        <f>SUM(Tabela1[[#This Row],[Nº de Ocorrências]])/SUBTOTAL(109,$B$2:$B$23)</f>
        <v>6.0393767363208113E-4</v>
      </c>
      <c r="D15" s="2">
        <f t="shared" si="0"/>
        <v>0.99903369972218869</v>
      </c>
    </row>
    <row r="16" spans="1:4" x14ac:dyDescent="0.25">
      <c r="A16" s="10" t="s">
        <v>18</v>
      </c>
      <c r="B16" s="1">
        <v>2</v>
      </c>
      <c r="C16" s="2">
        <f>SUM(Tabela1[[#This Row],[Nº de Ocorrências]])/SUBTOTAL(109,$B$2:$B$23)</f>
        <v>2.4157506945283246E-4</v>
      </c>
      <c r="D16" s="2">
        <f t="shared" si="0"/>
        <v>0.99927527479164158</v>
      </c>
    </row>
    <row r="17" spans="1:4" x14ac:dyDescent="0.25">
      <c r="A17" s="10" t="s">
        <v>19</v>
      </c>
      <c r="B17" s="1">
        <v>1</v>
      </c>
      <c r="C17" s="2">
        <f>SUM(Tabela1[[#This Row],[Nº de Ocorrências]])/SUBTOTAL(109,$B$2:$B$23)</f>
        <v>1.2078753472641623E-4</v>
      </c>
      <c r="D17" s="2">
        <f t="shared" si="0"/>
        <v>0.99939606232636802</v>
      </c>
    </row>
    <row r="18" spans="1:4" x14ac:dyDescent="0.25">
      <c r="A18" s="10" t="s">
        <v>20</v>
      </c>
      <c r="B18" s="1">
        <v>1</v>
      </c>
      <c r="C18" s="2">
        <f>SUM(Tabela1[[#This Row],[Nº de Ocorrências]])/SUBTOTAL(109,$B$2:$B$23)</f>
        <v>1.2078753472641623E-4</v>
      </c>
      <c r="D18" s="2">
        <f t="shared" si="0"/>
        <v>0.99951684986109446</v>
      </c>
    </row>
    <row r="19" spans="1:4" x14ac:dyDescent="0.25">
      <c r="A19" s="10" t="s">
        <v>21</v>
      </c>
      <c r="B19" s="1">
        <v>1</v>
      </c>
      <c r="C19" s="2">
        <f>SUM(Tabela1[[#This Row],[Nº de Ocorrências]])/SUBTOTAL(109,$B$2:$B$23)</f>
        <v>1.2078753472641623E-4</v>
      </c>
      <c r="D19" s="2">
        <f t="shared" si="0"/>
        <v>0.9996376373958209</v>
      </c>
    </row>
    <row r="20" spans="1:4" x14ac:dyDescent="0.25">
      <c r="A20" s="10" t="s">
        <v>22</v>
      </c>
      <c r="B20" s="1">
        <v>2</v>
      </c>
      <c r="C20" s="2">
        <f>SUM(Tabela1[[#This Row],[Nº de Ocorrências]])/SUBTOTAL(109,$B$2:$B$23)</f>
        <v>2.4157506945283246E-4</v>
      </c>
      <c r="D20" s="2">
        <f t="shared" si="0"/>
        <v>0.99987921246527378</v>
      </c>
    </row>
    <row r="21" spans="1:4" x14ac:dyDescent="0.25">
      <c r="A21" s="10" t="s">
        <v>23</v>
      </c>
      <c r="B21" s="1">
        <v>1</v>
      </c>
      <c r="C21" s="2">
        <f>SUM(Tabela1[[#This Row],[Nº de Ocorrências]])/SUBTOTAL(109,$B$2:$B$23)</f>
        <v>1.2078753472641623E-4</v>
      </c>
      <c r="D21" s="2">
        <f>D20+C21</f>
        <v>1.0000000000000002</v>
      </c>
    </row>
    <row r="22" spans="1:4" x14ac:dyDescent="0.25">
      <c r="A22" s="10" t="s">
        <v>24</v>
      </c>
      <c r="B22" s="1">
        <v>0</v>
      </c>
      <c r="C22" s="2">
        <f>SUM(Tabela1[[#This Row],[Nº de Ocorrências]])/SUBTOTAL(109,$B$2:$B$23)</f>
        <v>0</v>
      </c>
      <c r="D22" s="2">
        <f t="shared" si="0"/>
        <v>1.0000000000000002</v>
      </c>
    </row>
    <row r="23" spans="1:4" x14ac:dyDescent="0.25">
      <c r="A23" s="10" t="s">
        <v>25</v>
      </c>
      <c r="B23" s="1">
        <v>0</v>
      </c>
      <c r="C23" s="2">
        <f>SUM(Tabela1[[#This Row],[Nº de Ocorrências]])/SUBTOTAL(109,$B$2:$B$23)</f>
        <v>0</v>
      </c>
      <c r="D23" s="2">
        <f t="shared" si="0"/>
        <v>1.0000000000000002</v>
      </c>
    </row>
    <row r="24" spans="1:4" x14ac:dyDescent="0.25">
      <c r="A24" s="9" t="s">
        <v>26</v>
      </c>
      <c r="B24" s="3">
        <f>SUM(B2:B23)</f>
        <v>8279</v>
      </c>
      <c r="C24" s="4">
        <f>SUM(C2:C23)</f>
        <v>1.0000000000000002</v>
      </c>
      <c r="D24" s="4">
        <f>SUM(Tabela1[[#This Row],[% Frequência]],C23)</f>
        <v>1.0000000000000002</v>
      </c>
    </row>
    <row r="35" spans="7:10" ht="17.25" x14ac:dyDescent="0.25">
      <c r="G35" s="11" t="s">
        <v>27</v>
      </c>
      <c r="H35" s="12" t="s">
        <v>28</v>
      </c>
      <c r="I35" s="13" t="s">
        <v>29</v>
      </c>
      <c r="J35" s="14" t="s">
        <v>30</v>
      </c>
    </row>
    <row r="36" spans="7:10" x14ac:dyDescent="0.25">
      <c r="G36" s="15">
        <v>5</v>
      </c>
      <c r="H36" s="16">
        <v>83.11</v>
      </c>
      <c r="I36" s="17">
        <f>H36*G36/60</f>
        <v>6.9258333333333333</v>
      </c>
      <c r="J36" s="18">
        <f>I36</f>
        <v>6.9258333333333333</v>
      </c>
    </row>
    <row r="37" spans="7:10" x14ac:dyDescent="0.25">
      <c r="G37" s="15">
        <v>10</v>
      </c>
      <c r="H37" s="16">
        <v>67.56</v>
      </c>
      <c r="I37" s="17">
        <f t="shared" ref="I37:I39" si="1">H37*G37/60</f>
        <v>11.26</v>
      </c>
      <c r="J37" s="18">
        <f>I37-J36</f>
        <v>4.3341666666666665</v>
      </c>
    </row>
    <row r="38" spans="7:10" x14ac:dyDescent="0.25">
      <c r="G38" s="15">
        <v>15</v>
      </c>
      <c r="H38" s="16">
        <v>57.54</v>
      </c>
      <c r="I38" s="17">
        <f t="shared" si="1"/>
        <v>14.385</v>
      </c>
      <c r="J38" s="18">
        <f>I38-I37</f>
        <v>3.125</v>
      </c>
    </row>
    <row r="39" spans="7:10" x14ac:dyDescent="0.25">
      <c r="G39" s="19">
        <v>20</v>
      </c>
      <c r="H39" s="20">
        <v>50.45</v>
      </c>
      <c r="I39" s="21">
        <f t="shared" si="1"/>
        <v>16.816666666666666</v>
      </c>
      <c r="J39" s="22">
        <f>I39-I38</f>
        <v>2.4316666666666666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E341-4D3C-4926-8FFE-F66EA1E509A0}">
  <dimension ref="A1:D24"/>
  <sheetViews>
    <sheetView topLeftCell="A3" workbookViewId="0">
      <selection activeCell="G43" sqref="G43"/>
    </sheetView>
  </sheetViews>
  <sheetFormatPr defaultRowHeight="15" x14ac:dyDescent="0.25"/>
  <cols>
    <col min="1" max="1" width="27.42578125" customWidth="1"/>
    <col min="2" max="2" width="24.7109375" customWidth="1"/>
    <col min="3" max="3" width="20.7109375" customWidth="1"/>
    <col min="4" max="4" width="19.7109375" customWidth="1"/>
  </cols>
  <sheetData>
    <row r="1" spans="1:4" ht="30" x14ac:dyDescent="0.25">
      <c r="A1" s="5" t="s">
        <v>0</v>
      </c>
      <c r="B1" s="6" t="s">
        <v>1</v>
      </c>
      <c r="C1" s="7" t="s">
        <v>2</v>
      </c>
      <c r="D1" s="8" t="s">
        <v>3</v>
      </c>
    </row>
    <row r="2" spans="1:4" x14ac:dyDescent="0.25">
      <c r="A2" s="10" t="s">
        <v>4</v>
      </c>
      <c r="B2" s="1">
        <f ca="1">RANDBETWEEN(0,7000)</f>
        <v>2178</v>
      </c>
      <c r="C2" s="2">
        <f ca="1">SUM(Tabela15[[#This Row],[Nº de Ocorrências]])/SUBTOTAL(109,$B$2:$B$23)</f>
        <v>2.4740722229164062E-2</v>
      </c>
      <c r="D2" s="2">
        <f ca="1">C2</f>
        <v>2.4740722229164062E-2</v>
      </c>
    </row>
    <row r="3" spans="1:4" x14ac:dyDescent="0.25">
      <c r="A3" s="10" t="s">
        <v>5</v>
      </c>
      <c r="B3" s="1">
        <f t="shared" ref="B3:B23" ca="1" si="0">RANDBETWEEN(0,7000)</f>
        <v>2758</v>
      </c>
      <c r="C3" s="2">
        <f ca="1">SUM(Tabela15[[#This Row],[Nº de Ocorrências]])/SUBTOTAL(109,$B$2:$B$23)</f>
        <v>3.132916065566322E-2</v>
      </c>
      <c r="D3" s="2">
        <f ca="1">C2+C3</f>
        <v>5.6069882884827282E-2</v>
      </c>
    </row>
    <row r="4" spans="1:4" x14ac:dyDescent="0.25">
      <c r="A4" s="10" t="s">
        <v>6</v>
      </c>
      <c r="B4" s="1">
        <f t="shared" ca="1" si="0"/>
        <v>3898</v>
      </c>
      <c r="C4" s="2">
        <f ca="1">SUM(Tabela15[[#This Row],[Nº de Ocorrências]])/SUBTOTAL(109,$B$2:$B$23)</f>
        <v>4.4278849976713275E-2</v>
      </c>
      <c r="D4" s="2">
        <f ca="1">D3+C4</f>
        <v>0.10034873286154056</v>
      </c>
    </row>
    <row r="5" spans="1:4" x14ac:dyDescent="0.25">
      <c r="A5" s="10" t="s">
        <v>7</v>
      </c>
      <c r="B5" s="1">
        <f t="shared" ca="1" si="0"/>
        <v>3025</v>
      </c>
      <c r="C5" s="2">
        <f ca="1">SUM(Tabela15[[#This Row],[Nº de Ocorrências]])/SUBTOTAL(109,$B$2:$B$23)</f>
        <v>3.4362114207172313E-2</v>
      </c>
      <c r="D5" s="2">
        <f t="shared" ref="D5:D23" ca="1" si="1">D4+C5</f>
        <v>0.13471084706871286</v>
      </c>
    </row>
    <row r="6" spans="1:4" x14ac:dyDescent="0.25">
      <c r="A6" s="10" t="s">
        <v>8</v>
      </c>
      <c r="B6" s="1">
        <f t="shared" ca="1" si="0"/>
        <v>2494</v>
      </c>
      <c r="C6" s="2">
        <f ca="1">SUM(Tabela15[[#This Row],[Nº de Ocorrências]])/SUBTOTAL(109,$B$2:$B$23)</f>
        <v>2.8330285233946362E-2</v>
      </c>
      <c r="D6" s="2">
        <f t="shared" ca="1" si="1"/>
        <v>0.16304113230265924</v>
      </c>
    </row>
    <row r="7" spans="1:4" x14ac:dyDescent="0.25">
      <c r="A7" s="10" t="s">
        <v>9</v>
      </c>
      <c r="B7" s="1">
        <f t="shared" ca="1" si="0"/>
        <v>5610</v>
      </c>
      <c r="C7" s="2">
        <f ca="1">SUM(Tabela15[[#This Row],[Nº de Ocorrências]])/SUBTOTAL(109,$B$2:$B$23)</f>
        <v>6.3726102711483198E-2</v>
      </c>
      <c r="D7" s="2">
        <f t="shared" ca="1" si="1"/>
        <v>0.22676723501414242</v>
      </c>
    </row>
    <row r="8" spans="1:4" x14ac:dyDescent="0.25">
      <c r="A8" s="10" t="s">
        <v>10</v>
      </c>
      <c r="B8" s="1">
        <f t="shared" ca="1" si="0"/>
        <v>6691</v>
      </c>
      <c r="C8" s="2">
        <f ca="1">SUM(Tabela15[[#This Row],[Nº de Ocorrências]])/SUBTOTAL(109,$B$2:$B$23)</f>
        <v>7.6005588813285924E-2</v>
      </c>
      <c r="D8" s="2">
        <f t="shared" ca="1" si="1"/>
        <v>0.30277282382742832</v>
      </c>
    </row>
    <row r="9" spans="1:4" x14ac:dyDescent="0.25">
      <c r="A9" s="10" t="s">
        <v>11</v>
      </c>
      <c r="B9" s="1">
        <f t="shared" ca="1" si="0"/>
        <v>6811</v>
      </c>
      <c r="C9" s="2">
        <f ca="1">SUM(Tabela15[[#This Row],[Nº de Ocorrências]])/SUBTOTAL(109,$B$2:$B$23)</f>
        <v>7.73687140049754E-2</v>
      </c>
      <c r="D9" s="2">
        <f t="shared" ca="1" si="1"/>
        <v>0.38014153783240373</v>
      </c>
    </row>
    <row r="10" spans="1:4" x14ac:dyDescent="0.25">
      <c r="A10" s="10" t="s">
        <v>12</v>
      </c>
      <c r="B10" s="1">
        <f t="shared" ca="1" si="0"/>
        <v>2426</v>
      </c>
      <c r="C10" s="2">
        <f ca="1">SUM(Tabela15[[#This Row],[Nº de Ocorrências]])/SUBTOTAL(109,$B$2:$B$23)</f>
        <v>2.7557847625322322E-2</v>
      </c>
      <c r="D10" s="2">
        <f t="shared" ca="1" si="1"/>
        <v>0.40769938545772605</v>
      </c>
    </row>
    <row r="11" spans="1:4" x14ac:dyDescent="0.25">
      <c r="A11" s="10" t="s">
        <v>13</v>
      </c>
      <c r="B11" s="1">
        <f t="shared" ca="1" si="0"/>
        <v>3469</v>
      </c>
      <c r="C11" s="2">
        <f ca="1">SUM(Tabela15[[#This Row],[Nº de Ocorrências]])/SUBTOTAL(109,$B$2:$B$23)</f>
        <v>3.9405677416423389E-2</v>
      </c>
      <c r="D11" s="2">
        <f t="shared" ca="1" si="1"/>
        <v>0.44710506287414942</v>
      </c>
    </row>
    <row r="12" spans="1:4" x14ac:dyDescent="0.25">
      <c r="A12" s="10" t="s">
        <v>14</v>
      </c>
      <c r="B12" s="1">
        <f t="shared" ca="1" si="0"/>
        <v>3717</v>
      </c>
      <c r="C12" s="2">
        <f ca="1">SUM(Tabela15[[#This Row],[Nº de Ocorrências]])/SUBTOTAL(109,$B$2:$B$23)</f>
        <v>4.2222802812581645E-2</v>
      </c>
      <c r="D12" s="2">
        <f t="shared" ca="1" si="1"/>
        <v>0.48932786568673103</v>
      </c>
    </row>
    <row r="13" spans="1:4" x14ac:dyDescent="0.25">
      <c r="A13" s="10" t="s">
        <v>15</v>
      </c>
      <c r="B13" s="1">
        <f t="shared" ca="1" si="0"/>
        <v>4451</v>
      </c>
      <c r="C13" s="2">
        <f ca="1">SUM(Tabela15[[#This Row],[Nº de Ocorrências]])/SUBTOTAL(109,$B$2:$B$23)</f>
        <v>5.0560585235082299E-2</v>
      </c>
      <c r="D13" s="2">
        <f t="shared" ca="1" si="1"/>
        <v>0.53988845092181337</v>
      </c>
    </row>
    <row r="14" spans="1:4" x14ac:dyDescent="0.25">
      <c r="A14" s="10" t="s">
        <v>16</v>
      </c>
      <c r="B14" s="1">
        <f t="shared" ca="1" si="0"/>
        <v>6555</v>
      </c>
      <c r="C14" s="2">
        <f ca="1">SUM(Tabela15[[#This Row],[Nº de Ocorrências]])/SUBTOTAL(109,$B$2:$B$23)</f>
        <v>7.4460713596037856E-2</v>
      </c>
      <c r="D14" s="2">
        <f t="shared" ca="1" si="1"/>
        <v>0.61434916451785127</v>
      </c>
    </row>
    <row r="15" spans="1:4" x14ac:dyDescent="0.25">
      <c r="A15" s="10" t="s">
        <v>17</v>
      </c>
      <c r="B15" s="1">
        <f t="shared" ca="1" si="0"/>
        <v>5630</v>
      </c>
      <c r="C15" s="2">
        <f ca="1">SUM(Tabela15[[#This Row],[Nº de Ocorrências]])/SUBTOTAL(109,$B$2:$B$23)</f>
        <v>6.3953290243431438E-2</v>
      </c>
      <c r="D15" s="2">
        <f t="shared" ca="1" si="1"/>
        <v>0.6783024547612827</v>
      </c>
    </row>
    <row r="16" spans="1:4" x14ac:dyDescent="0.25">
      <c r="A16" s="10" t="s">
        <v>18</v>
      </c>
      <c r="B16" s="1">
        <f t="shared" ca="1" si="0"/>
        <v>3539</v>
      </c>
      <c r="C16" s="2">
        <f ca="1">SUM(Tabela15[[#This Row],[Nº de Ocorrências]])/SUBTOTAL(109,$B$2:$B$23)</f>
        <v>4.0200833778242247E-2</v>
      </c>
      <c r="D16" s="2">
        <f t="shared" ca="1" si="1"/>
        <v>0.71850328853952494</v>
      </c>
    </row>
    <row r="17" spans="1:4" x14ac:dyDescent="0.25">
      <c r="A17" s="10" t="s">
        <v>19</v>
      </c>
      <c r="B17" s="1">
        <f t="shared" ca="1" si="0"/>
        <v>4131</v>
      </c>
      <c r="C17" s="2">
        <f ca="1">SUM(Tabela15[[#This Row],[Nº de Ocorrências]])/SUBTOTAL(109,$B$2:$B$23)</f>
        <v>4.6925584723910355E-2</v>
      </c>
      <c r="D17" s="2">
        <f t="shared" ca="1" si="1"/>
        <v>0.76542887326343534</v>
      </c>
    </row>
    <row r="18" spans="1:4" x14ac:dyDescent="0.25">
      <c r="A18" s="10" t="s">
        <v>20</v>
      </c>
      <c r="B18" s="1">
        <f t="shared" ca="1" si="0"/>
        <v>5194</v>
      </c>
      <c r="C18" s="2">
        <f ca="1">SUM(Tabela15[[#This Row],[Nº de Ocorrências]])/SUBTOTAL(109,$B$2:$B$23)</f>
        <v>5.9000602046959665E-2</v>
      </c>
      <c r="D18" s="2">
        <f t="shared" ca="1" si="1"/>
        <v>0.82442947531039501</v>
      </c>
    </row>
    <row r="19" spans="1:4" x14ac:dyDescent="0.25">
      <c r="A19" s="10" t="s">
        <v>21</v>
      </c>
      <c r="B19" s="1">
        <f t="shared" ca="1" si="0"/>
        <v>6601</v>
      </c>
      <c r="C19" s="2">
        <f ca="1">SUM(Tabela15[[#This Row],[Nº de Ocorrências]])/SUBTOTAL(109,$B$2:$B$23)</f>
        <v>7.4983244919518813E-2</v>
      </c>
      <c r="D19" s="2">
        <f t="shared" ca="1" si="1"/>
        <v>0.89941272022991381</v>
      </c>
    </row>
    <row r="20" spans="1:4" x14ac:dyDescent="0.25">
      <c r="A20" s="10" t="s">
        <v>22</v>
      </c>
      <c r="B20" s="1">
        <f t="shared" ca="1" si="0"/>
        <v>5033</v>
      </c>
      <c r="C20" s="2">
        <f ca="1">SUM(Tabela15[[#This Row],[Nº de Ocorrências]])/SUBTOTAL(109,$B$2:$B$23)</f>
        <v>5.717174241477628E-2</v>
      </c>
      <c r="D20" s="2">
        <f t="shared" ca="1" si="1"/>
        <v>0.9565844626446901</v>
      </c>
    </row>
    <row r="21" spans="1:4" x14ac:dyDescent="0.25">
      <c r="A21" s="10" t="s">
        <v>23</v>
      </c>
      <c r="B21" s="1">
        <f t="shared" ca="1" si="0"/>
        <v>616</v>
      </c>
      <c r="C21" s="2">
        <f ca="1">SUM(Tabela15[[#This Row],[Nº de Ocorrências]])/SUBTOTAL(109,$B$2:$B$23)</f>
        <v>6.9973759840059975E-3</v>
      </c>
      <c r="D21" s="2">
        <f ca="1">D20+C21</f>
        <v>0.96358183862869606</v>
      </c>
    </row>
    <row r="22" spans="1:4" x14ac:dyDescent="0.25">
      <c r="A22" s="10" t="s">
        <v>24</v>
      </c>
      <c r="B22" s="1">
        <f t="shared" ca="1" si="0"/>
        <v>2281</v>
      </c>
      <c r="C22" s="2">
        <f ca="1">SUM(Tabela15[[#This Row],[Nº de Ocorrências]])/SUBTOTAL(109,$B$2:$B$23)</f>
        <v>2.5910738018697532E-2</v>
      </c>
      <c r="D22" s="2">
        <f t="shared" ca="1" si="1"/>
        <v>0.98949257664739365</v>
      </c>
    </row>
    <row r="23" spans="1:4" x14ac:dyDescent="0.25">
      <c r="A23" s="10" t="s">
        <v>25</v>
      </c>
      <c r="B23" s="1">
        <f t="shared" ca="1" si="0"/>
        <v>925</v>
      </c>
      <c r="C23" s="2">
        <f ca="1">SUM(Tabela15[[#This Row],[Nº de Ocorrências]])/SUBTOTAL(109,$B$2:$B$23)</f>
        <v>1.0507423352606409E-2</v>
      </c>
      <c r="D23" s="2">
        <f t="shared" ca="1" si="1"/>
        <v>1</v>
      </c>
    </row>
    <row r="24" spans="1:4" x14ac:dyDescent="0.25">
      <c r="A24" s="9" t="s">
        <v>26</v>
      </c>
      <c r="B24" s="3">
        <f ca="1">SUM(B2:B23)</f>
        <v>88033</v>
      </c>
      <c r="C24" s="4">
        <f ca="1">SUM(C2:C23)</f>
        <v>1</v>
      </c>
      <c r="D24" s="4">
        <f ca="1">SUM(Tabela15[[#This Row],[% Frequência]],C23)</f>
        <v>1.0105074233526063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493C-E712-45E2-83B5-83C0F0F40935}">
  <dimension ref="A1:J26"/>
  <sheetViews>
    <sheetView tabSelected="1" workbookViewId="0">
      <selection activeCell="H25" sqref="H25"/>
    </sheetView>
  </sheetViews>
  <sheetFormatPr defaultRowHeight="15" x14ac:dyDescent="0.25"/>
  <sheetData>
    <row r="1" spans="1:10" x14ac:dyDescent="0.25">
      <c r="A1" t="s">
        <v>31</v>
      </c>
      <c r="B1">
        <v>342.76</v>
      </c>
      <c r="D1" t="s">
        <v>32</v>
      </c>
      <c r="E1">
        <v>2</v>
      </c>
      <c r="F1">
        <v>5</v>
      </c>
      <c r="G1">
        <v>10</v>
      </c>
      <c r="H1">
        <v>25</v>
      </c>
      <c r="I1">
        <v>50</v>
      </c>
      <c r="J1">
        <v>100</v>
      </c>
    </row>
    <row r="2" spans="1:10" x14ac:dyDescent="0.25">
      <c r="A2" t="s">
        <v>33</v>
      </c>
      <c r="B2">
        <v>0.21</v>
      </c>
      <c r="D2">
        <f>B14</f>
        <v>5</v>
      </c>
      <c r="E2">
        <f>($B$1*E$1^$B$2)/($B14+$B$3)^$B$4</f>
        <v>116.24742481899101</v>
      </c>
      <c r="F2">
        <f>($B$1*F$1^$B$2)/($B14+$B$3)^$B$4</f>
        <v>140.91289673270262</v>
      </c>
      <c r="G2">
        <f>($B$1*G$1^$B$2)/($B14+$B$3)^$B$4</f>
        <v>162.99228261058309</v>
      </c>
      <c r="H2">
        <f t="shared" ref="H2:J2" si="0">($B$1*H$1^$B$2)/($B14+$B$3)^$B$4</f>
        <v>197.57611597414416</v>
      </c>
      <c r="I2">
        <f t="shared" si="0"/>
        <v>228.53395876919325</v>
      </c>
      <c r="J2">
        <f t="shared" si="0"/>
        <v>264.34252972942403</v>
      </c>
    </row>
    <row r="3" spans="1:10" x14ac:dyDescent="0.25">
      <c r="A3" t="s">
        <v>34</v>
      </c>
      <c r="B3">
        <v>3</v>
      </c>
      <c r="D3">
        <f>B15</f>
        <v>10</v>
      </c>
      <c r="E3">
        <f t="shared" ref="E3:J14" si="1">($B$1*E$1^$B$2)/($B15+$B$3)^$B$4</f>
        <v>87.293087682506439</v>
      </c>
      <c r="F3">
        <f t="shared" si="1"/>
        <v>105.8150051000033</v>
      </c>
      <c r="G3">
        <f t="shared" si="1"/>
        <v>122.39496607905156</v>
      </c>
      <c r="H3">
        <f t="shared" si="1"/>
        <v>148.36482823215562</v>
      </c>
      <c r="I3">
        <f t="shared" si="1"/>
        <v>171.61184372327202</v>
      </c>
      <c r="J3">
        <f t="shared" si="1"/>
        <v>198.50139185290953</v>
      </c>
    </row>
    <row r="4" spans="1:10" x14ac:dyDescent="0.25">
      <c r="A4" t="s">
        <v>35</v>
      </c>
      <c r="B4">
        <v>0.59</v>
      </c>
      <c r="D4">
        <f t="shared" ref="D4:D14" si="2">B16</f>
        <v>20</v>
      </c>
      <c r="E4">
        <f t="shared" si="1"/>
        <v>62.342901369937181</v>
      </c>
      <c r="F4">
        <f t="shared" si="1"/>
        <v>75.570868227300764</v>
      </c>
      <c r="G4">
        <f t="shared" si="1"/>
        <v>87.411930325982311</v>
      </c>
      <c r="H4">
        <f t="shared" si="1"/>
        <v>105.95906387097075</v>
      </c>
      <c r="I4">
        <f t="shared" si="1"/>
        <v>122.56159715721751</v>
      </c>
      <c r="J4">
        <f t="shared" si="1"/>
        <v>141.76555123231338</v>
      </c>
    </row>
    <row r="5" spans="1:10" x14ac:dyDescent="0.25">
      <c r="D5">
        <f t="shared" si="2"/>
        <v>30</v>
      </c>
      <c r="E5">
        <f t="shared" si="1"/>
        <v>50.382905474639763</v>
      </c>
      <c r="F5">
        <f t="shared" si="1"/>
        <v>61.073190802258431</v>
      </c>
      <c r="G5">
        <f t="shared" si="1"/>
        <v>70.642638154365414</v>
      </c>
      <c r="H5">
        <f t="shared" si="1"/>
        <v>85.631649825119709</v>
      </c>
      <c r="I5">
        <f t="shared" si="1"/>
        <v>99.049117521031249</v>
      </c>
      <c r="J5">
        <f t="shared" si="1"/>
        <v>114.56894386282303</v>
      </c>
    </row>
    <row r="6" spans="1:10" x14ac:dyDescent="0.25">
      <c r="A6" t="s">
        <v>36</v>
      </c>
      <c r="B6">
        <v>2</v>
      </c>
      <c r="D6">
        <f t="shared" si="2"/>
        <v>40</v>
      </c>
      <c r="E6">
        <f t="shared" si="1"/>
        <v>43.098290530569997</v>
      </c>
      <c r="F6">
        <f t="shared" si="1"/>
        <v>52.242920411756756</v>
      </c>
      <c r="G6">
        <f t="shared" si="1"/>
        <v>60.4287687329834</v>
      </c>
      <c r="H6">
        <f t="shared" si="1"/>
        <v>73.250593390901102</v>
      </c>
      <c r="I6">
        <f t="shared" si="1"/>
        <v>84.72809583930605</v>
      </c>
      <c r="J6">
        <f t="shared" si="1"/>
        <v>98.003987302120066</v>
      </c>
    </row>
    <row r="7" spans="1:10" x14ac:dyDescent="0.25">
      <c r="B7">
        <v>5</v>
      </c>
      <c r="D7">
        <f t="shared" si="2"/>
        <v>50</v>
      </c>
      <c r="E7">
        <f t="shared" si="1"/>
        <v>38.096376503799803</v>
      </c>
      <c r="F7">
        <f t="shared" si="1"/>
        <v>46.17969625158613</v>
      </c>
      <c r="G7">
        <f t="shared" si="1"/>
        <v>53.415508990544971</v>
      </c>
      <c r="H7">
        <f t="shared" si="1"/>
        <v>64.749254566538639</v>
      </c>
      <c r="I7">
        <f t="shared" si="1"/>
        <v>74.894697673790702</v>
      </c>
      <c r="J7">
        <f t="shared" si="1"/>
        <v>86.629811836432552</v>
      </c>
    </row>
    <row r="8" spans="1:10" x14ac:dyDescent="0.25">
      <c r="B8">
        <v>10</v>
      </c>
      <c r="D8">
        <f t="shared" si="2"/>
        <v>60</v>
      </c>
      <c r="E8">
        <f t="shared" si="1"/>
        <v>34.402936122919805</v>
      </c>
      <c r="F8">
        <f t="shared" si="1"/>
        <v>41.702578725845363</v>
      </c>
      <c r="G8">
        <f t="shared" si="1"/>
        <v>48.236880050565347</v>
      </c>
      <c r="H8">
        <f t="shared" si="1"/>
        <v>58.471819981018946</v>
      </c>
      <c r="I8">
        <f t="shared" si="1"/>
        <v>67.633663263481694</v>
      </c>
      <c r="J8">
        <f t="shared" si="1"/>
        <v>78.231059131098419</v>
      </c>
    </row>
    <row r="9" spans="1:10" x14ac:dyDescent="0.25">
      <c r="B9">
        <v>25</v>
      </c>
      <c r="D9">
        <f t="shared" si="2"/>
        <v>70</v>
      </c>
      <c r="E9">
        <f t="shared" si="1"/>
        <v>31.538856692759872</v>
      </c>
      <c r="F9">
        <f t="shared" si="1"/>
        <v>38.230796623103664</v>
      </c>
      <c r="G9">
        <f t="shared" si="1"/>
        <v>44.221110715230175</v>
      </c>
      <c r="H9">
        <f t="shared" si="1"/>
        <v>53.603981484522684</v>
      </c>
      <c r="I9">
        <f t="shared" si="1"/>
        <v>62.003091993425194</v>
      </c>
      <c r="J9">
        <f t="shared" si="1"/>
        <v>71.718243874387468</v>
      </c>
    </row>
    <row r="10" spans="1:10" x14ac:dyDescent="0.25">
      <c r="B10">
        <v>50</v>
      </c>
      <c r="D10">
        <f t="shared" si="2"/>
        <v>80</v>
      </c>
      <c r="E10">
        <f t="shared" si="1"/>
        <v>29.238181569394289</v>
      </c>
      <c r="F10">
        <f t="shared" si="1"/>
        <v>35.441962405235039</v>
      </c>
      <c r="G10">
        <f t="shared" si="1"/>
        <v>40.995299128550798</v>
      </c>
      <c r="H10">
        <f t="shared" si="1"/>
        <v>49.693714605916981</v>
      </c>
      <c r="I10">
        <f t="shared" si="1"/>
        <v>57.480132499025771</v>
      </c>
      <c r="J10">
        <f t="shared" si="1"/>
        <v>66.486590070933417</v>
      </c>
    </row>
    <row r="11" spans="1:10" x14ac:dyDescent="0.25">
      <c r="B11">
        <v>100</v>
      </c>
      <c r="D11">
        <f t="shared" si="2"/>
        <v>90</v>
      </c>
      <c r="E11">
        <f t="shared" si="1"/>
        <v>27.340187811743874</v>
      </c>
      <c r="F11">
        <f t="shared" si="1"/>
        <v>33.141250808504559</v>
      </c>
      <c r="G11">
        <f t="shared" si="1"/>
        <v>38.33409321003878</v>
      </c>
      <c r="H11">
        <f t="shared" si="1"/>
        <v>46.467851879377875</v>
      </c>
      <c r="I11">
        <f t="shared" si="1"/>
        <v>53.748815200337496</v>
      </c>
      <c r="J11">
        <f t="shared" si="1"/>
        <v>62.170619441139294</v>
      </c>
    </row>
    <row r="12" spans="1:10" x14ac:dyDescent="0.25">
      <c r="D12">
        <f t="shared" si="2"/>
        <v>100</v>
      </c>
      <c r="E12">
        <f t="shared" si="1"/>
        <v>25.741418222851543</v>
      </c>
      <c r="F12">
        <f t="shared" si="1"/>
        <v>31.203253004856307</v>
      </c>
      <c r="G12">
        <f t="shared" si="1"/>
        <v>36.092434050124446</v>
      </c>
      <c r="H12">
        <f t="shared" si="1"/>
        <v>43.750555679459637</v>
      </c>
      <c r="I12">
        <f t="shared" si="1"/>
        <v>50.605750793721327</v>
      </c>
      <c r="J12">
        <f t="shared" si="1"/>
        <v>58.53507398075309</v>
      </c>
    </row>
    <row r="13" spans="1:10" x14ac:dyDescent="0.25">
      <c r="D13">
        <f t="shared" si="2"/>
        <v>110</v>
      </c>
      <c r="E13">
        <f t="shared" si="1"/>
        <v>24.371942879215013</v>
      </c>
      <c r="F13">
        <f t="shared" si="1"/>
        <v>29.543201283484233</v>
      </c>
      <c r="G13">
        <f t="shared" si="1"/>
        <v>34.17227183934174</v>
      </c>
      <c r="H13">
        <f t="shared" si="1"/>
        <v>41.422971909415907</v>
      </c>
      <c r="I13">
        <f t="shared" si="1"/>
        <v>47.913462149862028</v>
      </c>
      <c r="J13">
        <f t="shared" si="1"/>
        <v>55.420935518738645</v>
      </c>
    </row>
    <row r="14" spans="1:10" x14ac:dyDescent="0.25">
      <c r="A14" t="s">
        <v>37</v>
      </c>
      <c r="B14">
        <v>5</v>
      </c>
      <c r="D14">
        <f t="shared" si="2"/>
        <v>120</v>
      </c>
      <c r="E14">
        <f t="shared" si="1"/>
        <v>23.182614715559236</v>
      </c>
      <c r="F14">
        <f t="shared" si="1"/>
        <v>28.101520515351275</v>
      </c>
      <c r="G14">
        <f t="shared" si="1"/>
        <v>32.504696729878845</v>
      </c>
      <c r="H14">
        <f t="shared" si="1"/>
        <v>39.401569374609984</v>
      </c>
      <c r="I14">
        <f t="shared" si="1"/>
        <v>45.575329722935813</v>
      </c>
      <c r="J14">
        <f t="shared" si="1"/>
        <v>52.716445368107301</v>
      </c>
    </row>
    <row r="15" spans="1:10" x14ac:dyDescent="0.25">
      <c r="B15">
        <v>10</v>
      </c>
    </row>
    <row r="16" spans="1:10" x14ac:dyDescent="0.25">
      <c r="B16">
        <v>20</v>
      </c>
    </row>
    <row r="17" spans="2:2" x14ac:dyDescent="0.25">
      <c r="B17">
        <v>30</v>
      </c>
    </row>
    <row r="18" spans="2:2" x14ac:dyDescent="0.25">
      <c r="B18">
        <v>40</v>
      </c>
    </row>
    <row r="19" spans="2:2" x14ac:dyDescent="0.25">
      <c r="B19">
        <v>50</v>
      </c>
    </row>
    <row r="20" spans="2:2" x14ac:dyDescent="0.25">
      <c r="B20">
        <v>60</v>
      </c>
    </row>
    <row r="21" spans="2:2" x14ac:dyDescent="0.25">
      <c r="B21">
        <v>70</v>
      </c>
    </row>
    <row r="22" spans="2:2" x14ac:dyDescent="0.25">
      <c r="B22">
        <v>80</v>
      </c>
    </row>
    <row r="23" spans="2:2" x14ac:dyDescent="0.25">
      <c r="B23">
        <v>90</v>
      </c>
    </row>
    <row r="24" spans="2:2" x14ac:dyDescent="0.25">
      <c r="B24">
        <v>100</v>
      </c>
    </row>
    <row r="25" spans="2:2" x14ac:dyDescent="0.25">
      <c r="B25">
        <v>110</v>
      </c>
    </row>
    <row r="26" spans="2:2" x14ac:dyDescent="0.25">
      <c r="B26">
        <v>120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Curva IDF-JP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 Gomes Soares</dc:creator>
  <cp:keywords/>
  <dc:description/>
  <cp:lastModifiedBy>Emanuel Gomes Soares</cp:lastModifiedBy>
  <cp:revision/>
  <dcterms:created xsi:type="dcterms:W3CDTF">2023-08-12T18:59:02Z</dcterms:created>
  <dcterms:modified xsi:type="dcterms:W3CDTF">2025-02-07T22:33:10Z</dcterms:modified>
  <cp:category/>
  <cp:contentStatus/>
</cp:coreProperties>
</file>