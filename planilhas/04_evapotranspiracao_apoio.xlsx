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academicoufpb-my.sharepoint.com/personal/emanuel_gomes_academico_ufpb_br/Documents/MONITORIA-HIDROLOGIA/2023.1/LISTAS DE EXERCÍCIOS/UNIDADE 2/Evapotranspiração/"/>
    </mc:Choice>
  </mc:AlternateContent>
  <xr:revisionPtr revIDLastSave="0" documentId="8_{2EC23E5D-65DA-478D-B495-3EB7274EC063}" xr6:coauthVersionLast="37" xr6:coauthVersionMax="47" xr10:uidLastSave="{00000000-0000-0000-0000-000000000000}"/>
  <bookViews>
    <workbookView xWindow="-120" yWindow="-120" windowWidth="29040" windowHeight="15720" activeTab="2" xr2:uid="{294905CB-8B2E-4ABD-B05A-448CAE25DDE0}"/>
  </bookViews>
  <sheets>
    <sheet name="Planilha1" sheetId="1" r:id="rId1"/>
    <sheet name="Planilha3" sheetId="3" r:id="rId2"/>
    <sheet name="Planilha2" sheetId="2" r:id="rId3"/>
  </sheets>
  <calcPr calcId="17902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D2" i="3"/>
  <c r="D3" i="3"/>
  <c r="D4" i="3"/>
  <c r="D5" i="3"/>
  <c r="D6" i="3"/>
  <c r="D7" i="3"/>
  <c r="D8" i="3"/>
  <c r="D9" i="3"/>
  <c r="D10" i="3"/>
  <c r="D11" i="3"/>
  <c r="D12" i="3"/>
  <c r="D13" i="3"/>
  <c r="E3" i="2"/>
  <c r="D3" i="2"/>
  <c r="D14" i="2"/>
  <c r="D13" i="2"/>
  <c r="D12" i="2"/>
  <c r="D11" i="2"/>
  <c r="D10" i="2"/>
  <c r="D9" i="2"/>
  <c r="D8" i="2"/>
  <c r="D7" i="2"/>
  <c r="D6" i="2"/>
  <c r="D5" i="2"/>
  <c r="D4" i="2"/>
  <c r="D15" i="2"/>
  <c r="F3" i="2"/>
  <c r="G3" i="2"/>
  <c r="L11" i="1"/>
  <c r="L12" i="1"/>
  <c r="L13" i="1"/>
  <c r="L14" i="1"/>
  <c r="L15" i="1"/>
  <c r="L16" i="1"/>
  <c r="L17" i="1"/>
  <c r="L18" i="1"/>
  <c r="L19" i="1"/>
  <c r="L20" i="1"/>
  <c r="L21" i="1"/>
  <c r="L22" i="1"/>
  <c r="H11" i="1"/>
  <c r="I11" i="1"/>
  <c r="K11" i="1"/>
  <c r="H12" i="1"/>
  <c r="I12" i="1"/>
  <c r="K12" i="1"/>
  <c r="H13" i="1"/>
  <c r="I13" i="1"/>
  <c r="K13" i="1"/>
  <c r="H14" i="1"/>
  <c r="I14" i="1"/>
  <c r="K14" i="1"/>
  <c r="H15" i="1"/>
  <c r="I15" i="1"/>
  <c r="K15" i="1"/>
  <c r="H16" i="1"/>
  <c r="I16" i="1"/>
  <c r="K16" i="1"/>
  <c r="H17" i="1"/>
  <c r="I17" i="1"/>
  <c r="K17" i="1"/>
  <c r="H18" i="1"/>
  <c r="I18" i="1"/>
  <c r="K18" i="1"/>
  <c r="H19" i="1"/>
  <c r="I19" i="1"/>
  <c r="K19" i="1"/>
  <c r="H20" i="1"/>
  <c r="I20" i="1"/>
  <c r="K20" i="1"/>
  <c r="H21" i="1"/>
  <c r="I21" i="1"/>
  <c r="K21" i="1"/>
  <c r="H22" i="1"/>
  <c r="I22" i="1"/>
  <c r="K22" i="1"/>
  <c r="F11" i="1"/>
  <c r="F12" i="1"/>
  <c r="F13" i="1"/>
  <c r="F14" i="1"/>
  <c r="F15" i="1"/>
  <c r="F16" i="1"/>
  <c r="F17" i="1"/>
  <c r="F18" i="1"/>
  <c r="F19" i="1"/>
  <c r="F20" i="1"/>
  <c r="F21" i="1"/>
  <c r="F22" i="1"/>
  <c r="F5" i="2"/>
  <c r="G5" i="2"/>
  <c r="F9" i="2"/>
  <c r="G9" i="2"/>
  <c r="F13" i="2"/>
  <c r="G13" i="2"/>
  <c r="F6" i="2"/>
  <c r="G6" i="2"/>
  <c r="F10" i="2"/>
  <c r="G10" i="2"/>
  <c r="F14" i="2"/>
  <c r="G14" i="2"/>
  <c r="F7" i="2"/>
  <c r="G7" i="2"/>
  <c r="F8" i="2"/>
  <c r="G8" i="2"/>
  <c r="F11" i="2"/>
  <c r="G11" i="2"/>
  <c r="F4" i="2"/>
  <c r="G4" i="2"/>
  <c r="F12" i="2"/>
  <c r="G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 Gomes Soares</author>
  </authors>
  <commentList>
    <comment ref="B2" authorId="0" shapeId="0" xr:uid="{56B8D00A-F499-4EE8-84B0-FEE375A09FA3}">
      <text>
        <r>
          <rPr>
            <b/>
            <sz val="9"/>
            <color indexed="81"/>
            <rFont val="Segoe UI"/>
            <family val="2"/>
          </rPr>
          <t>Emanuel Gomes Soares:</t>
        </r>
        <r>
          <rPr>
            <sz val="9"/>
            <color indexed="81"/>
            <rFont val="Segoe UI"/>
            <family val="2"/>
          </rPr>
          <t xml:space="preserve">
https://pt.climate-data.org/america-do-sul/brasil/paraiba/campina-grande-4449/</t>
        </r>
      </text>
    </comment>
  </commentList>
</comments>
</file>

<file path=xl/sharedStrings.xml><?xml version="1.0" encoding="utf-8"?>
<sst xmlns="http://schemas.openxmlformats.org/spreadsheetml/2006/main" count="46" uniqueCount="33">
  <si>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</si>
  <si>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</si>
  <si>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</si>
  <si>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</si>
  <si>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</si>
  <si>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</si>
  <si>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</si>
  <si>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</si>
  <si>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</si>
  <si>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</si>
  <si>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</si>
  <si>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</si>
  <si>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</si>
  <si>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r>
      <t>Área (km</t>
    </r>
    <r>
      <rPr>
        <vertAlign val="superscript"/>
        <sz val="12"/>
        <color theme="0"/>
        <rFont val="Aptos Display"/>
        <family val="2"/>
        <scheme val="major"/>
      </rPr>
      <t>2</t>
    </r>
    <r>
      <rPr>
        <sz val="12"/>
        <color theme="0"/>
        <rFont val="Aptos Display"/>
        <family val="2"/>
        <scheme val="major"/>
      </rPr>
      <t>)</t>
    </r>
  </si>
  <si>
    <r>
      <t>Área (m</t>
    </r>
    <r>
      <rPr>
        <vertAlign val="superscript"/>
        <sz val="12"/>
        <color theme="0"/>
        <rFont val="Aptos Display"/>
        <family val="2"/>
        <scheme val="major"/>
      </rPr>
      <t>2</t>
    </r>
    <r>
      <rPr>
        <sz val="12"/>
        <color theme="0"/>
        <rFont val="Aptos Display"/>
        <family val="2"/>
        <scheme val="major"/>
      </rPr>
      <t>)</t>
    </r>
  </si>
  <si>
    <t>Nº de dias</t>
  </si>
  <si>
    <t>E (mm/dia)</t>
  </si>
  <si>
    <t>E (m/dia)</t>
  </si>
  <si>
    <t>E (m/mês)</t>
  </si>
  <si>
    <r>
      <t>K</t>
    </r>
    <r>
      <rPr>
        <vertAlign val="subscript"/>
        <sz val="12"/>
        <color theme="1"/>
        <rFont val="Aptos Display"/>
        <family val="2"/>
        <scheme val="major"/>
      </rPr>
      <t>t</t>
    </r>
  </si>
  <si>
    <t>ETP (m/mês)</t>
  </si>
  <si>
    <t>Volume (m³/mês)</t>
  </si>
  <si>
    <t>Temperatura ºC</t>
  </si>
  <si>
    <t>Fc</t>
  </si>
  <si>
    <t>I</t>
  </si>
  <si>
    <t>a</t>
  </si>
  <si>
    <t>ETP (mm/mês)</t>
  </si>
  <si>
    <t>ETP (mm/dia)</t>
  </si>
  <si>
    <t>Leitura nº</t>
  </si>
  <si>
    <t>Tempo acumulado (hora)</t>
  </si>
  <si>
    <t>Leitura (em mm)</t>
  </si>
  <si>
    <t>Régua diferença (em mm)</t>
  </si>
  <si>
    <t>Velocidade de infiltração (mm/h)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</si>
</sst>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2"/>
      <color theme="0"/>
      <name val="Aptos Display"/>
      <family val="2"/>
      <scheme val="major"/>
    </font>
    <font>
      <vertAlign val="superscript"/>
      <sz val="12"/>
      <color theme="0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vertAlign val="subscript"/>
      <sz val="12"/>
      <color theme="1"/>
      <name val="Aptos Display"/>
      <family val="2"/>
      <scheme val="major"/>
    </font>
    <font>
      <b/>
      <sz val="11"/>
      <color theme="1"/>
      <name val="Symbol"/>
      <family val="1"/>
      <charset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6" xfId="0" applyBorder="1"/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2" fontId="12" fillId="0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2" fontId="12" fillId="0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sz val="12"/>
        <name val="Aptos Display"/>
        <family val="2"/>
        <scheme val="maj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sz val="12"/>
        <name val="Aptos Display"/>
        <family val="2"/>
        <scheme val="maj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sz val="12"/>
        <color rgb="FF000000"/>
        <name val="Aptos Display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sz val="12"/>
        <name val="Aptos Display"/>
        <family val="2"/>
        <scheme val="maj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sz val="12"/>
        <name val="Aptos Display"/>
        <family val="2"/>
        <scheme val="maj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sz val="12"/>
        <color rgb="FF000000"/>
        <name val="Aptos Display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sz val="12"/>
        <name val="Aptos Display"/>
        <family val="2"/>
        <scheme val="maj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sz val="12"/>
        <name val="Aptos Display"/>
        <family val="2"/>
        <scheme val="major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sz val="12"/>
        <name val="Aptos Display"/>
        <family val="2"/>
        <scheme val="major"/>
      </font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sz val="12"/>
        <name val="Aptos Display"/>
        <family val="2"/>
        <scheme val="maj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10969-6CE7-40FA-879C-5C3E5C4AACE0}" name="Tabela1" displayName="Tabela1" ref="C10:L22" totalsRowShown="0" headerRowDxfId="24" dataDxfId="22" headerRowBorderDxfId="23" tableBorderDxfId="21" totalsRowBorderDxfId="20">
  <autoFilter ref="C10:L22" xr:uid="{8C110969-6CE7-40FA-879C-5C3E5C4AACE0}"/>
  <tableColumns count="10">
    <tableColumn id="1" xr3:uid="{42F09713-0B7C-406A-BADD-8C4A74B99D38}" name="Mês" dataDxfId="19"/>
    <tableColumn id="4" xr3:uid="{7E512D38-8F42-4C8B-AFF5-EFD03DE7D734}" name="Nº de dias" dataDxfId="18"/>
    <tableColumn id="2" xr3:uid="{9101330D-9DBD-432A-B30B-E96901F588FA}" name="Área (km2)" dataDxfId="17"/>
    <tableColumn id="3" xr3:uid="{3186EAE8-6EB1-44FA-B5AF-D5BFB1EA0AB9}" name="Área (m2)" dataDxfId="16">
      <calculatedColumnFormula>Tabela1[[#This Row],[Área (km2)]]*10^6</calculatedColumnFormula>
    </tableColumn>
    <tableColumn id="5" xr3:uid="{91B34C11-2539-4154-8E75-C45AE9837CEB}" name="E (mm/dia)" dataDxfId="15"/>
    <tableColumn id="6" xr3:uid="{8592C9FB-4ECF-4B3F-8EDE-03CB6E355812}" name="E (m/dia)" dataDxfId="14">
      <calculatedColumnFormula>Tabela1[[#This Row],[E (mm/dia)]]/1000</calculatedColumnFormula>
    </tableColumn>
    <tableColumn id="7" xr3:uid="{8E9DB245-3776-4604-8D43-DFA7A4CB0C73}" name="E (m/mês)" dataDxfId="13">
      <calculatedColumnFormula>Tabela1[[#This Row],[E (m/dia)]]*Tabela1[[#This Row],[Nº de dias]]</calculatedColumnFormula>
    </tableColumn>
    <tableColumn id="8" xr3:uid="{44629E31-3F42-4127-8969-F80C8006A8D5}" name="Kt" dataDxfId="12"/>
    <tableColumn id="9" xr3:uid="{B9D29D84-C2C5-4902-817D-121E5A18AF72}" name="ETP (m/mês)" dataDxfId="11">
      <calculatedColumnFormula>Tabela1[[#This Row],[E (m/mês)]]*Tabela1[[#This Row],[Kt]]</calculatedColumnFormula>
    </tableColumn>
    <tableColumn id="10" xr3:uid="{B1CBB235-58B3-45F7-85F9-D7575299B06A}" name="Volume (m³/mês)" dataDxfId="10">
      <calculatedColumnFormula>Tabela1[[#This Row],[Área (m2)]]*Tabela1[[#This Row],[ETP (m/mês)]]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6B0304-44A0-4C3A-87E5-10C1FF88520A}" name="Tabela2" displayName="Tabela2" ref="A1:E13" totalsRowShown="0" headerRowDxfId="9" dataDxfId="7" headerRowBorderDxfId="8" tableBorderDxfId="6" totalsRowBorderDxfId="5">
  <autoFilter ref="A1:E13" xr:uid="{5B6B0304-44A0-4C3A-87E5-10C1FF88520A}"/>
  <tableColumns count="5">
    <tableColumn id="1" xr3:uid="{614B86A9-2702-457A-A650-37F0C4CB390F}" name="Leitura nº" dataDxfId="4"/>
    <tableColumn id="2" xr3:uid="{324083E3-1796-4B55-87E4-D0EE93F51B1A}" name="Tempo acumulado (hora)" dataDxfId="3"/>
    <tableColumn id="3" xr3:uid="{E8F123DC-2F04-4013-85C0-F8193D05764A}" name="Leitura (em mm)" dataDxfId="2"/>
    <tableColumn id="4" xr3:uid="{248DC918-BD67-4330-A898-8EC209BFE9DE}" name="Régua diferença (em mm)" dataDxfId="1">
      <calculatedColumnFormula>6</calculatedColumnFormula>
    </tableColumn>
    <tableColumn id="5" xr3:uid="{C83E23E4-73BB-410A-9945-0D6CFA8A9A0A}" name="Velocidade de infiltração (mm/h)" dataDxfId="0">
      <calculatedColumnFormula>Tabela2[[#This Row],[Leitura (em mm)]]/Tabela2[[#This Row],[Tempo acumulado (hora)]]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308C-662E-40F5-AFAC-76E4D5A5BF49}">
  <dimension ref="C10:L22"/>
  <sheetViews>
    <sheetView topLeftCell="A7" workbookViewId="0" xr3:uid="{5043436C-0CFA-574A-98A6-A3578ABFDB04}">
      <selection activeCell="C10" sqref="C10:L22"/>
    </sheetView>
  </sheetViews>
  <sheetFormatPr defaultRowHeight="15"/>
  <cols>
    <col min="4" max="4" width="11.02734375" customWidth="1"/>
    <col min="5" max="5" width="10.0859375" customWidth="1"/>
    <col min="7" max="7" width="14.52734375" bestFit="1" customWidth="1"/>
    <col min="11" max="11" width="12.5078125" customWidth="1"/>
    <col min="12" max="12" width="20.17578125" bestFit="1" customWidth="1"/>
  </cols>
  <sheetData>
    <row r="10" spans="3:12" ht="18">
      <c r="C10" s="2" t="s">
        <v>12</v>
      </c>
      <c r="D10" s="2" t="s">
        <v>15</v>
      </c>
      <c r="E10" s="3" t="s">
        <v>13</v>
      </c>
      <c r="F10" s="4" t="s">
        <v>14</v>
      </c>
      <c r="G10" s="11" t="s">
        <v>16</v>
      </c>
      <c r="H10" s="11" t="s">
        <v>17</v>
      </c>
      <c r="I10" s="11" t="s">
        <v>18</v>
      </c>
      <c r="J10" s="13" t="s">
        <v>19</v>
      </c>
      <c r="K10" s="11" t="s">
        <v>20</v>
      </c>
      <c r="L10" s="11" t="s">
        <v>21</v>
      </c>
    </row>
    <row r="11" spans="3:12">
      <c r="C11" s="5" t="s">
        <v>0</v>
      </c>
      <c r="D11" s="5">
        <v>31</v>
      </c>
      <c r="E11" s="6">
        <v>2.52</v>
      </c>
      <c r="F11" s="7">
        <f>Tabela1[[#This Row],[Área (km2)]]*10^6</f>
        <v>2520000</v>
      </c>
      <c r="G11" s="7">
        <v>7.4</v>
      </c>
      <c r="H11" s="12">
        <f>Tabela1[[#This Row],[E (mm/dia)]]/1000</f>
        <v>7.4000000000000003E-3</v>
      </c>
      <c r="I11" s="12">
        <f>Tabela1[[#This Row],[E (m/dia)]]*Tabela1[[#This Row],[Nº de dias]]</f>
        <v>0.22940000000000002</v>
      </c>
      <c r="J11" s="12">
        <v>0.75</v>
      </c>
      <c r="K11" s="12">
        <f>Tabela1[[#This Row],[E (m/mês)]]*Tabela1[[#This Row],[Kt]]</f>
        <v>0.17205000000000001</v>
      </c>
      <c r="L11" s="15">
        <f>Tabela1[[#This Row],[Área (m2)]]*Tabela1[[#This Row],[ETP (m/mês)]]</f>
        <v>433566</v>
      </c>
    </row>
    <row r="12" spans="3:12">
      <c r="C12" s="5" t="s">
        <v>1</v>
      </c>
      <c r="D12" s="5">
        <v>28</v>
      </c>
      <c r="E12" s="6">
        <v>2.5499999999999998</v>
      </c>
      <c r="F12" s="7">
        <f>Tabela1[[#This Row],[Área (km2)]]*10^6</f>
        <v>2550000</v>
      </c>
      <c r="G12" s="7">
        <v>8.1</v>
      </c>
      <c r="H12" s="12">
        <f>Tabela1[[#This Row],[E (mm/dia)]]/1000</f>
        <v>8.0999999999999996E-3</v>
      </c>
      <c r="I12" s="12">
        <f>Tabela1[[#This Row],[E (m/dia)]]*Tabela1[[#This Row],[Nº de dias]]</f>
        <v>0.2268</v>
      </c>
      <c r="J12" s="12">
        <v>1</v>
      </c>
      <c r="K12" s="12">
        <f>Tabela1[[#This Row],[E (m/mês)]]*Tabela1[[#This Row],[Kt]]</f>
        <v>0.2268</v>
      </c>
      <c r="L12" s="14">
        <f>Tabela1[[#This Row],[Área (m2)]]*Tabela1[[#This Row],[ETP (m/mês)]]</f>
        <v>578340</v>
      </c>
    </row>
    <row r="13" spans="3:12">
      <c r="C13" s="5" t="s">
        <v>2</v>
      </c>
      <c r="D13" s="5">
        <v>31</v>
      </c>
      <c r="E13" s="6">
        <v>2.59</v>
      </c>
      <c r="F13" s="7">
        <f>Tabela1[[#This Row],[Área (km2)]]*10^6</f>
        <v>2590000</v>
      </c>
      <c r="G13" s="7">
        <v>8.9</v>
      </c>
      <c r="H13" s="12">
        <f>Tabela1[[#This Row],[E (mm/dia)]]/1000</f>
        <v>8.8999999999999999E-3</v>
      </c>
      <c r="I13" s="12">
        <f>Tabela1[[#This Row],[E (m/dia)]]*Tabela1[[#This Row],[Nº de dias]]</f>
        <v>0.27589999999999998</v>
      </c>
      <c r="J13" s="12">
        <v>0.78</v>
      </c>
      <c r="K13" s="12">
        <f>Tabela1[[#This Row],[E (m/mês)]]*Tabela1[[#This Row],[Kt]]</f>
        <v>0.215202</v>
      </c>
      <c r="L13" s="14">
        <f>Tabela1[[#This Row],[Área (m2)]]*Tabela1[[#This Row],[ETP (m/mês)]]</f>
        <v>557373.18000000005</v>
      </c>
    </row>
    <row r="14" spans="3:12">
      <c r="C14" s="5" t="s">
        <v>3</v>
      </c>
      <c r="D14" s="5">
        <v>30</v>
      </c>
      <c r="E14" s="6">
        <v>2.61</v>
      </c>
      <c r="F14" s="7">
        <f>Tabela1[[#This Row],[Área (km2)]]*10^6</f>
        <v>2610000</v>
      </c>
      <c r="G14" s="7">
        <v>9.4</v>
      </c>
      <c r="H14" s="12">
        <f>Tabela1[[#This Row],[E (mm/dia)]]/1000</f>
        <v>9.4000000000000004E-3</v>
      </c>
      <c r="I14" s="12">
        <f>Tabela1[[#This Row],[E (m/dia)]]*Tabela1[[#This Row],[Nº de dias]]</f>
        <v>0.28200000000000003</v>
      </c>
      <c r="J14" s="12">
        <v>0.68</v>
      </c>
      <c r="K14" s="12">
        <f>Tabela1[[#This Row],[E (m/mês)]]*Tabela1[[#This Row],[Kt]]</f>
        <v>0.19176000000000004</v>
      </c>
      <c r="L14" s="14">
        <f>Tabela1[[#This Row],[Área (m2)]]*Tabela1[[#This Row],[ETP (m/mês)]]</f>
        <v>500493.60000000009</v>
      </c>
    </row>
    <row r="15" spans="3:12">
      <c r="C15" s="5" t="s">
        <v>4</v>
      </c>
      <c r="D15" s="5">
        <v>31</v>
      </c>
      <c r="E15" s="6">
        <v>2.63</v>
      </c>
      <c r="F15" s="7">
        <f>Tabela1[[#This Row],[Área (km2)]]*10^6</f>
        <v>2630000</v>
      </c>
      <c r="G15" s="7">
        <v>8.4</v>
      </c>
      <c r="H15" s="12">
        <f>Tabela1[[#This Row],[E (mm/dia)]]/1000</f>
        <v>8.4000000000000012E-3</v>
      </c>
      <c r="I15" s="12">
        <f>Tabela1[[#This Row],[E (m/dia)]]*Tabela1[[#This Row],[Nº de dias]]</f>
        <v>0.26040000000000002</v>
      </c>
      <c r="J15" s="12">
        <v>0.36</v>
      </c>
      <c r="K15" s="12">
        <f>Tabela1[[#This Row],[E (m/mês)]]*Tabela1[[#This Row],[Kt]]</f>
        <v>9.3744000000000008E-2</v>
      </c>
      <c r="L15" s="14">
        <f>Tabela1[[#This Row],[Área (m2)]]*Tabela1[[#This Row],[ETP (m/mês)]]</f>
        <v>246546.72000000003</v>
      </c>
    </row>
    <row r="16" spans="3:12">
      <c r="C16" s="5" t="s">
        <v>5</v>
      </c>
      <c r="D16" s="5">
        <v>30</v>
      </c>
      <c r="E16" s="6">
        <v>2.5299999999999998</v>
      </c>
      <c r="F16" s="7">
        <f>Tabela1[[#This Row],[Área (km2)]]*10^6</f>
        <v>2530000</v>
      </c>
      <c r="G16" s="7">
        <v>9.1</v>
      </c>
      <c r="H16" s="12">
        <f>Tabela1[[#This Row],[E (mm/dia)]]/1000</f>
        <v>9.1000000000000004E-3</v>
      </c>
      <c r="I16" s="12">
        <f>Tabela1[[#This Row],[E (m/dia)]]*Tabela1[[#This Row],[Nº de dias]]</f>
        <v>0.27300000000000002</v>
      </c>
      <c r="J16" s="12">
        <v>0.66</v>
      </c>
      <c r="K16" s="12">
        <f>Tabela1[[#This Row],[E (m/mês)]]*Tabela1[[#This Row],[Kt]]</f>
        <v>0.18018000000000003</v>
      </c>
      <c r="L16" s="14">
        <f>Tabela1[[#This Row],[Área (m2)]]*Tabela1[[#This Row],[ETP (m/mês)]]</f>
        <v>455855.40000000008</v>
      </c>
    </row>
    <row r="17" spans="3:12">
      <c r="C17" s="5" t="s">
        <v>6</v>
      </c>
      <c r="D17" s="5">
        <v>31</v>
      </c>
      <c r="E17" s="6">
        <v>2.41</v>
      </c>
      <c r="F17" s="7">
        <f>Tabela1[[#This Row],[Área (km2)]]*10^6</f>
        <v>2410000</v>
      </c>
      <c r="G17" s="7">
        <v>8.1</v>
      </c>
      <c r="H17" s="12">
        <f>Tabela1[[#This Row],[E (mm/dia)]]/1000</f>
        <v>8.0999999999999996E-3</v>
      </c>
      <c r="I17" s="12">
        <f>Tabela1[[#This Row],[E (m/dia)]]*Tabela1[[#This Row],[Nº de dias]]</f>
        <v>0.25109999999999999</v>
      </c>
      <c r="J17" s="12">
        <v>0.68</v>
      </c>
      <c r="K17" s="12">
        <f>Tabela1[[#This Row],[E (m/mês)]]*Tabela1[[#This Row],[Kt]]</f>
        <v>0.17074800000000001</v>
      </c>
      <c r="L17" s="14">
        <f>Tabela1[[#This Row],[Área (m2)]]*Tabela1[[#This Row],[ETP (m/mês)]]</f>
        <v>411502.68000000005</v>
      </c>
    </row>
    <row r="18" spans="3:12">
      <c r="C18" s="5" t="s">
        <v>7</v>
      </c>
      <c r="D18" s="5">
        <v>31</v>
      </c>
      <c r="E18" s="6">
        <v>2.35</v>
      </c>
      <c r="F18" s="7">
        <f>Tabela1[[#This Row],[Área (km2)]]*10^6</f>
        <v>2350000</v>
      </c>
      <c r="G18" s="7">
        <v>7.4</v>
      </c>
      <c r="H18" s="12">
        <f>Tabela1[[#This Row],[E (mm/dia)]]/1000</f>
        <v>7.4000000000000003E-3</v>
      </c>
      <c r="I18" s="12">
        <f>Tabela1[[#This Row],[E (m/dia)]]*Tabela1[[#This Row],[Nº de dias]]</f>
        <v>0.22940000000000002</v>
      </c>
      <c r="J18" s="12">
        <v>0.7</v>
      </c>
      <c r="K18" s="12">
        <f>Tabela1[[#This Row],[E (m/mês)]]*Tabela1[[#This Row],[Kt]]</f>
        <v>0.16058</v>
      </c>
      <c r="L18" s="14">
        <f>Tabela1[[#This Row],[Área (m2)]]*Tabela1[[#This Row],[ETP (m/mês)]]</f>
        <v>377363</v>
      </c>
    </row>
    <row r="19" spans="3:12">
      <c r="C19" s="5" t="s">
        <v>8</v>
      </c>
      <c r="D19" s="5">
        <v>30</v>
      </c>
      <c r="E19" s="6">
        <v>2.35</v>
      </c>
      <c r="F19" s="7">
        <f>Tabela1[[#This Row],[Área (km2)]]*10^6</f>
        <v>2350000</v>
      </c>
      <c r="G19" s="7">
        <v>7.1</v>
      </c>
      <c r="H19" s="12">
        <f>Tabela1[[#This Row],[E (mm/dia)]]/1000</f>
        <v>7.0999999999999995E-3</v>
      </c>
      <c r="I19" s="12">
        <f>Tabela1[[#This Row],[E (m/dia)]]*Tabela1[[#This Row],[Nº de dias]]</f>
        <v>0.21299999999999999</v>
      </c>
      <c r="J19" s="12">
        <v>0.71</v>
      </c>
      <c r="K19" s="12">
        <f>Tabela1[[#This Row],[E (m/mês)]]*Tabela1[[#This Row],[Kt]]</f>
        <v>0.15122999999999998</v>
      </c>
      <c r="L19" s="14">
        <f>Tabela1[[#This Row],[Área (m2)]]*Tabela1[[#This Row],[ETP (m/mês)]]</f>
        <v>355390.49999999994</v>
      </c>
    </row>
    <row r="20" spans="3:12">
      <c r="C20" s="5" t="s">
        <v>9</v>
      </c>
      <c r="D20" s="5">
        <v>31</v>
      </c>
      <c r="E20" s="6">
        <v>2.39</v>
      </c>
      <c r="F20" s="7">
        <f>Tabela1[[#This Row],[Área (km2)]]*10^6</f>
        <v>2390000</v>
      </c>
      <c r="G20" s="7">
        <v>6.6</v>
      </c>
      <c r="H20" s="12">
        <f>Tabela1[[#This Row],[E (mm/dia)]]/1000</f>
        <v>6.6E-3</v>
      </c>
      <c r="I20" s="12">
        <f>Tabela1[[#This Row],[E (m/dia)]]*Tabela1[[#This Row],[Nº de dias]]</f>
        <v>0.2046</v>
      </c>
      <c r="J20" s="12">
        <v>0.72</v>
      </c>
      <c r="K20" s="12">
        <f>Tabela1[[#This Row],[E (m/mês)]]*Tabela1[[#This Row],[Kt]]</f>
        <v>0.147312</v>
      </c>
      <c r="L20" s="14">
        <f>Tabela1[[#This Row],[Área (m2)]]*Tabela1[[#This Row],[ETP (m/mês)]]</f>
        <v>352075.68</v>
      </c>
    </row>
    <row r="21" spans="3:12">
      <c r="C21" s="5" t="s">
        <v>10</v>
      </c>
      <c r="D21" s="5">
        <v>30</v>
      </c>
      <c r="E21" s="6">
        <v>2.39</v>
      </c>
      <c r="F21" s="7">
        <f>Tabela1[[#This Row],[Área (km2)]]*10^6</f>
        <v>2390000</v>
      </c>
      <c r="G21" s="7">
        <v>6.6</v>
      </c>
      <c r="H21" s="12">
        <f>Tabela1[[#This Row],[E (mm/dia)]]/1000</f>
        <v>6.6E-3</v>
      </c>
      <c r="I21" s="12">
        <f>Tabela1[[#This Row],[E (m/dia)]]*Tabela1[[#This Row],[Nº de dias]]</f>
        <v>0.19800000000000001</v>
      </c>
      <c r="J21" s="12">
        <v>0.72</v>
      </c>
      <c r="K21" s="12">
        <f>Tabela1[[#This Row],[E (m/mês)]]*Tabela1[[#This Row],[Kt]]</f>
        <v>0.14255999999999999</v>
      </c>
      <c r="L21" s="14">
        <f>Tabela1[[#This Row],[Área (m2)]]*Tabela1[[#This Row],[ETP (m/mês)]]</f>
        <v>340718.39999999997</v>
      </c>
    </row>
    <row r="22" spans="3:12">
      <c r="C22" s="8" t="s">
        <v>11</v>
      </c>
      <c r="D22" s="8">
        <v>31</v>
      </c>
      <c r="E22" s="9">
        <v>2.4300000000000002</v>
      </c>
      <c r="F22" s="10">
        <f>Tabela1[[#This Row],[Área (km2)]]*10^6</f>
        <v>2430000</v>
      </c>
      <c r="G22" s="7">
        <v>6.4</v>
      </c>
      <c r="H22" s="12">
        <f>Tabela1[[#This Row],[E (mm/dia)]]/1000</f>
        <v>6.4000000000000003E-3</v>
      </c>
      <c r="I22" s="12">
        <f>Tabela1[[#This Row],[E (m/dia)]]*Tabela1[[#This Row],[Nº de dias]]</f>
        <v>0.19840000000000002</v>
      </c>
      <c r="J22" s="12">
        <v>0.73</v>
      </c>
      <c r="K22" s="12">
        <f>Tabela1[[#This Row],[E (m/mês)]]*Tabela1[[#This Row],[Kt]]</f>
        <v>0.14483200000000002</v>
      </c>
      <c r="L22" s="16">
        <f>Tabela1[[#This Row],[Área (m2)]]*Tabela1[[#This Row],[ETP (m/mês)]]</f>
        <v>351941.76000000007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441B-FCE1-497F-9014-116225770480}">
  <dimension ref="A1:E13"/>
  <sheetViews>
    <sheetView workbookViewId="0" xr3:uid="{A94B32D5-11F1-5228-A2B0-B6219B9A0C45}">
      <selection sqref="A1:E13"/>
    </sheetView>
  </sheetViews>
  <sheetFormatPr defaultRowHeight="15"/>
  <cols>
    <col min="1" max="1" width="11.8359375" customWidth="1"/>
    <col min="2" max="2" width="26.6328125" customWidth="1"/>
    <col min="3" max="3" width="18.0234375" customWidth="1"/>
    <col min="4" max="4" width="27.0390625" customWidth="1"/>
    <col min="5" max="5" width="33.08984375" customWidth="1"/>
  </cols>
  <sheetData>
    <row r="1" spans="1:5" ht="29.25">
      <c r="A1" s="24" t="s">
        <v>28</v>
      </c>
      <c r="B1" s="25" t="s">
        <v>29</v>
      </c>
      <c r="C1" s="25" t="s">
        <v>30</v>
      </c>
      <c r="D1" s="25" t="s">
        <v>31</v>
      </c>
      <c r="E1" s="26" t="s">
        <v>32</v>
      </c>
    </row>
    <row r="2" spans="1:5">
      <c r="A2" s="27">
        <v>1</v>
      </c>
      <c r="B2" s="28">
        <v>0.04</v>
      </c>
      <c r="C2" s="28">
        <v>6</v>
      </c>
      <c r="D2" s="28">
        <f>6</f>
        <v>6</v>
      </c>
      <c r="E2" s="29">
        <f>Tabela2[[#This Row],[Leitura (em mm)]]/Tabela2[[#This Row],[Tempo acumulado (hora)]]</f>
        <v>150</v>
      </c>
    </row>
    <row r="3" spans="1:5">
      <c r="A3" s="27">
        <v>2</v>
      </c>
      <c r="B3" s="28">
        <v>0.11</v>
      </c>
      <c r="C3" s="28">
        <v>12</v>
      </c>
      <c r="D3" s="28">
        <f>6</f>
        <v>6</v>
      </c>
      <c r="E3" s="29">
        <f>Tabela2[[#This Row],[Leitura (em mm)]]/Tabela2[[#This Row],[Tempo acumulado (hora)]]</f>
        <v>109.09090909090909</v>
      </c>
    </row>
    <row r="4" spans="1:5">
      <c r="A4" s="27">
        <v>3</v>
      </c>
      <c r="B4" s="28">
        <v>0.19</v>
      </c>
      <c r="C4" s="28">
        <v>18</v>
      </c>
      <c r="D4" s="28">
        <f>6</f>
        <v>6</v>
      </c>
      <c r="E4" s="29">
        <f>Tabela2[[#This Row],[Leitura (em mm)]]/Tabela2[[#This Row],[Tempo acumulado (hora)]]</f>
        <v>94.73684210526315</v>
      </c>
    </row>
    <row r="5" spans="1:5">
      <c r="A5" s="27">
        <v>4</v>
      </c>
      <c r="B5" s="28">
        <v>0.28000000000000003</v>
      </c>
      <c r="C5" s="28">
        <v>24</v>
      </c>
      <c r="D5" s="28">
        <f>6</f>
        <v>6</v>
      </c>
      <c r="E5" s="29">
        <f>Tabela2[[#This Row],[Leitura (em mm)]]/Tabela2[[#This Row],[Tempo acumulado (hora)]]</f>
        <v>85.714285714285708</v>
      </c>
    </row>
    <row r="6" spans="1:5">
      <c r="A6" s="27">
        <v>5</v>
      </c>
      <c r="B6" s="28">
        <v>0.36</v>
      </c>
      <c r="C6" s="28">
        <v>30</v>
      </c>
      <c r="D6" s="28">
        <f>6</f>
        <v>6</v>
      </c>
      <c r="E6" s="29">
        <f>Tabela2[[#This Row],[Leitura (em mm)]]/Tabela2[[#This Row],[Tempo acumulado (hora)]]</f>
        <v>83.333333333333343</v>
      </c>
    </row>
    <row r="7" spans="1:5">
      <c r="A7" s="27">
        <v>6</v>
      </c>
      <c r="B7" s="28">
        <v>0.46</v>
      </c>
      <c r="C7" s="28">
        <v>36</v>
      </c>
      <c r="D7" s="28">
        <f>6</f>
        <v>6</v>
      </c>
      <c r="E7" s="29">
        <f>Tabela2[[#This Row],[Leitura (em mm)]]/Tabela2[[#This Row],[Tempo acumulado (hora)]]</f>
        <v>78.260869565217391</v>
      </c>
    </row>
    <row r="8" spans="1:5">
      <c r="A8" s="27">
        <v>7</v>
      </c>
      <c r="B8" s="28">
        <v>0.56000000000000005</v>
      </c>
      <c r="C8" s="28">
        <v>42</v>
      </c>
      <c r="D8" s="28">
        <f>6</f>
        <v>6</v>
      </c>
      <c r="E8" s="29">
        <f>Tabela2[[#This Row],[Leitura (em mm)]]/Tabela2[[#This Row],[Tempo acumulado (hora)]]</f>
        <v>74.999999999999986</v>
      </c>
    </row>
    <row r="9" spans="1:5">
      <c r="A9" s="27">
        <v>8</v>
      </c>
      <c r="B9" s="28">
        <v>0.68</v>
      </c>
      <c r="C9" s="28">
        <v>48</v>
      </c>
      <c r="D9" s="28">
        <f>6</f>
        <v>6</v>
      </c>
      <c r="E9" s="29">
        <f>Tabela2[[#This Row],[Leitura (em mm)]]/Tabela2[[#This Row],[Tempo acumulado (hora)]]</f>
        <v>70.588235294117638</v>
      </c>
    </row>
    <row r="10" spans="1:5">
      <c r="A10" s="27">
        <v>9</v>
      </c>
      <c r="B10" s="28">
        <v>0.79</v>
      </c>
      <c r="C10" s="28">
        <v>54</v>
      </c>
      <c r="D10" s="28">
        <f>6</f>
        <v>6</v>
      </c>
      <c r="E10" s="29">
        <f>Tabela2[[#This Row],[Leitura (em mm)]]/Tabela2[[#This Row],[Tempo acumulado (hora)]]</f>
        <v>68.35443037974683</v>
      </c>
    </row>
    <row r="11" spans="1:5">
      <c r="A11" s="27">
        <v>10</v>
      </c>
      <c r="B11" s="28">
        <v>0.9</v>
      </c>
      <c r="C11" s="28">
        <v>60</v>
      </c>
      <c r="D11" s="28">
        <f>6</f>
        <v>6</v>
      </c>
      <c r="E11" s="29">
        <f>Tabela2[[#This Row],[Leitura (em mm)]]/Tabela2[[#This Row],[Tempo acumulado (hora)]]</f>
        <v>66.666666666666671</v>
      </c>
    </row>
    <row r="12" spans="1:5">
      <c r="A12" s="27">
        <v>11</v>
      </c>
      <c r="B12" s="28">
        <v>1.01</v>
      </c>
      <c r="C12" s="28">
        <v>66</v>
      </c>
      <c r="D12" s="28">
        <f>6</f>
        <v>6</v>
      </c>
      <c r="E12" s="29">
        <f>Tabela2[[#This Row],[Leitura (em mm)]]/Tabela2[[#This Row],[Tempo acumulado (hora)]]</f>
        <v>65.346534653465341</v>
      </c>
    </row>
    <row r="13" spans="1:5">
      <c r="A13" s="30">
        <v>12</v>
      </c>
      <c r="B13" s="31">
        <v>1.0900000000000001</v>
      </c>
      <c r="C13" s="31">
        <v>72</v>
      </c>
      <c r="D13" s="31">
        <f>6</f>
        <v>6</v>
      </c>
      <c r="E13" s="32">
        <f>Tabela2[[#This Row],[Leitura (em mm)]]/Tabela2[[#This Row],[Tempo acumulado (hora)]]</f>
        <v>66.055045871559628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7F80-21DA-425D-8826-5621ABD141FA}">
  <dimension ref="A2:G15"/>
  <sheetViews>
    <sheetView tabSelected="1" workbookViewId="0" xr3:uid="{5F16D890-179C-58CD-98B2-CFF1C0F3CF3C}">
      <selection activeCell="I17" sqref="I17"/>
    </sheetView>
  </sheetViews>
  <sheetFormatPr defaultRowHeight="15"/>
  <cols>
    <col min="2" max="2" width="13.31640625" bestFit="1" customWidth="1"/>
    <col min="6" max="6" width="12.375" bestFit="1" customWidth="1"/>
    <col min="7" max="7" width="11.43359375" bestFit="1" customWidth="1"/>
  </cols>
  <sheetData>
    <row r="2" spans="1:7">
      <c r="A2" s="17" t="s">
        <v>12</v>
      </c>
      <c r="B2" s="22" t="s">
        <v>22</v>
      </c>
      <c r="C2" s="17" t="s">
        <v>23</v>
      </c>
      <c r="D2" s="17" t="s">
        <v>24</v>
      </c>
      <c r="E2" s="18" t="s">
        <v>25</v>
      </c>
      <c r="F2" s="17" t="s">
        <v>26</v>
      </c>
      <c r="G2" s="17" t="s">
        <v>27</v>
      </c>
    </row>
    <row r="3" spans="1:7">
      <c r="A3" s="19" t="s">
        <v>0</v>
      </c>
      <c r="B3" s="23">
        <v>24.3</v>
      </c>
      <c r="C3" s="20">
        <v>1.08</v>
      </c>
      <c r="D3" s="20">
        <f>(B3/5)^1.514</f>
        <v>10.953863170473578</v>
      </c>
      <c r="E3" s="1">
        <f>((6.75*10^-7)*$D$15^3)-((7.71*10^-5)*$D$15^2)+((1.792*10^-2)*$D$15)+0.49239</f>
        <v>2.7108683223696377</v>
      </c>
      <c r="F3" s="20">
        <f>C3*16*((10*B3)/$D$15)^$E$3</f>
        <v>115.91687757978561</v>
      </c>
      <c r="G3" s="20">
        <f>F3/30</f>
        <v>3.863895919326187</v>
      </c>
    </row>
    <row r="4" spans="1:7">
      <c r="A4" s="19" t="s">
        <v>1</v>
      </c>
      <c r="B4" s="23">
        <v>24.7</v>
      </c>
      <c r="C4" s="20">
        <v>0.97</v>
      </c>
      <c r="D4" s="20">
        <f t="shared" ref="D4:D14" si="0">(B4/5)^1.514</f>
        <v>11.228005085576758</v>
      </c>
      <c r="F4" s="20">
        <f t="shared" ref="F4:F14" si="1">C4*16*((10*B4)/$D$15)^$E$3</f>
        <v>108.82196201991862</v>
      </c>
      <c r="G4" s="20">
        <f t="shared" ref="G4:G14" si="2">F4/30</f>
        <v>3.6273987339972873</v>
      </c>
    </row>
    <row r="5" spans="1:7">
      <c r="A5" s="19" t="s">
        <v>2</v>
      </c>
      <c r="B5" s="23">
        <v>24.4</v>
      </c>
      <c r="C5" s="20">
        <v>1.05</v>
      </c>
      <c r="D5" s="20">
        <f t="shared" si="0"/>
        <v>11.0221828280006</v>
      </c>
      <c r="F5" s="20">
        <f t="shared" si="1"/>
        <v>113.9586233901337</v>
      </c>
      <c r="G5" s="20">
        <f t="shared" si="2"/>
        <v>3.7986207796711233</v>
      </c>
    </row>
    <row r="6" spans="1:7">
      <c r="A6" s="19" t="s">
        <v>3</v>
      </c>
      <c r="B6" s="23">
        <v>23.9</v>
      </c>
      <c r="C6" s="20">
        <v>0.99</v>
      </c>
      <c r="D6" s="20">
        <f t="shared" si="0"/>
        <v>10.682031036473406</v>
      </c>
      <c r="F6" s="20">
        <f t="shared" si="1"/>
        <v>101.58209472876598</v>
      </c>
      <c r="G6" s="20">
        <f t="shared" si="2"/>
        <v>3.3860698242921994</v>
      </c>
    </row>
    <row r="7" spans="1:7">
      <c r="A7" s="19" t="s">
        <v>4</v>
      </c>
      <c r="B7" s="23">
        <v>22.4</v>
      </c>
      <c r="C7" s="20">
        <v>1.01</v>
      </c>
      <c r="D7" s="20">
        <f t="shared" si="0"/>
        <v>9.6835569982622953</v>
      </c>
      <c r="F7" s="20">
        <f t="shared" si="1"/>
        <v>86.934611632956475</v>
      </c>
      <c r="G7" s="20">
        <f t="shared" si="2"/>
        <v>2.8978203877652158</v>
      </c>
    </row>
    <row r="8" spans="1:7">
      <c r="A8" s="19" t="s">
        <v>5</v>
      </c>
      <c r="B8" s="23">
        <v>22.2</v>
      </c>
      <c r="C8" s="20">
        <v>0.96</v>
      </c>
      <c r="D8" s="20">
        <f t="shared" si="0"/>
        <v>9.552956864944953</v>
      </c>
      <c r="F8" s="20">
        <f t="shared" si="1"/>
        <v>80.646147630909866</v>
      </c>
      <c r="G8" s="20">
        <f t="shared" si="2"/>
        <v>2.6882049210303287</v>
      </c>
    </row>
    <row r="9" spans="1:7">
      <c r="A9" s="19" t="s">
        <v>6</v>
      </c>
      <c r="B9" s="23">
        <v>21.2</v>
      </c>
      <c r="C9" s="20">
        <v>1</v>
      </c>
      <c r="D9" s="20">
        <f t="shared" si="0"/>
        <v>8.9090604735770054</v>
      </c>
      <c r="F9" s="20">
        <f t="shared" si="1"/>
        <v>74.139326164260908</v>
      </c>
      <c r="G9" s="20">
        <f t="shared" si="2"/>
        <v>2.47131087214203</v>
      </c>
    </row>
    <row r="10" spans="1:7">
      <c r="A10" s="19" t="s">
        <v>7</v>
      </c>
      <c r="B10" s="23">
        <v>21</v>
      </c>
      <c r="C10" s="20">
        <v>1.01</v>
      </c>
      <c r="D10" s="20">
        <f t="shared" si="0"/>
        <v>8.7821211849583261</v>
      </c>
      <c r="F10" s="20">
        <f t="shared" si="1"/>
        <v>72.981122595049754</v>
      </c>
      <c r="G10" s="20">
        <f t="shared" si="2"/>
        <v>2.4327040865016585</v>
      </c>
    </row>
    <row r="11" spans="1:7">
      <c r="A11" s="19" t="s">
        <v>8</v>
      </c>
      <c r="B11" s="23">
        <v>21.9</v>
      </c>
      <c r="C11" s="20">
        <v>1</v>
      </c>
      <c r="D11" s="20">
        <f t="shared" si="0"/>
        <v>9.3581888115324716</v>
      </c>
      <c r="F11" s="20">
        <f t="shared" si="1"/>
        <v>80.964428207050034</v>
      </c>
      <c r="G11" s="20">
        <f t="shared" si="2"/>
        <v>2.6988142735683343</v>
      </c>
    </row>
    <row r="12" spans="1:7">
      <c r="A12" s="19" t="s">
        <v>9</v>
      </c>
      <c r="B12" s="23">
        <v>22.5</v>
      </c>
      <c r="C12" s="20">
        <v>1.06</v>
      </c>
      <c r="D12" s="20">
        <f t="shared" si="0"/>
        <v>9.7490825068394695</v>
      </c>
      <c r="F12" s="20">
        <f t="shared" si="1"/>
        <v>92.346700719204563</v>
      </c>
      <c r="G12" s="20">
        <f t="shared" si="2"/>
        <v>3.0782233573068187</v>
      </c>
    </row>
    <row r="13" spans="1:7">
      <c r="A13" s="19" t="s">
        <v>10</v>
      </c>
      <c r="B13" s="23">
        <v>22.7</v>
      </c>
      <c r="C13" s="20">
        <v>1.05</v>
      </c>
      <c r="D13" s="20">
        <f t="shared" si="0"/>
        <v>9.8805827839373155</v>
      </c>
      <c r="F13" s="20">
        <f t="shared" si="1"/>
        <v>93.696550844055906</v>
      </c>
      <c r="G13" s="20">
        <f t="shared" si="2"/>
        <v>3.1232183614685303</v>
      </c>
    </row>
    <row r="14" spans="1:7">
      <c r="A14" s="19" t="s">
        <v>11</v>
      </c>
      <c r="B14" s="23">
        <v>23.8</v>
      </c>
      <c r="C14" s="20">
        <v>1.1000000000000001</v>
      </c>
      <c r="D14" s="20">
        <f t="shared" si="0"/>
        <v>10.61443608848854</v>
      </c>
      <c r="F14" s="20">
        <f t="shared" si="1"/>
        <v>111.59335011984163</v>
      </c>
      <c r="G14" s="20">
        <f t="shared" si="2"/>
        <v>3.7197783373280542</v>
      </c>
    </row>
    <row r="15" spans="1:7">
      <c r="D15" s="21">
        <f>SUM(D3:D14)</f>
        <v>120.41606783306473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Gomes Soares</dc:creator>
  <cp:lastModifiedBy>Emanuel Gomes Soares</cp:lastModifiedBy>
  <dcterms:created xsi:type="dcterms:W3CDTF">2023-09-24T22:32:22Z</dcterms:created>
  <dcterms:modified xsi:type="dcterms:W3CDTF">2023-09-25T01:39:17Z</dcterms:modified>
</cp:coreProperties>
</file>